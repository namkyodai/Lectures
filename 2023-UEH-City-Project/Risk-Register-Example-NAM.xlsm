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always" codeName="ThisWorkbook" defaultThemeVersion="124226"/>
  <mc:AlternateContent xmlns:mc="http://schemas.openxmlformats.org/markup-compatibility/2006">
    <mc:Choice Requires="x15">
      <x15ac:absPath xmlns:x15ac="http://schemas.microsoft.com/office/spreadsheetml/2010/11/ac" url="E:\Git\Lectures\2023-UEH-City-Project\"/>
    </mc:Choice>
  </mc:AlternateContent>
  <xr:revisionPtr revIDLastSave="0" documentId="13_ncr:1_{7A9FFF35-2639-4C37-8551-506AFA8620A9}" xr6:coauthVersionLast="47" xr6:coauthVersionMax="47" xr10:uidLastSave="{00000000-0000-0000-0000-000000000000}"/>
  <bookViews>
    <workbookView xWindow="-108" yWindow="-108" windowWidth="23256" windowHeight="12456" firstSheet="1" activeTab="1" xr2:uid="{CF9F73B2-F15C-4D29-A133-D2E79AC0F379}"/>
  </bookViews>
  <sheets>
    <sheet name="Riskprofile" sheetId="2" r:id="rId1"/>
    <sheet name="Riskregister" sheetId="1" r:id="rId2"/>
    <sheet name="Definition" sheetId="3" r:id="rId3"/>
    <sheet name="DataFields" sheetId="4" r:id="rId4"/>
  </sheets>
  <definedNames>
    <definedName name="_xlnm.Print_Area" localSheetId="2">Definition!$A$1:$I$35</definedName>
    <definedName name="_xlnm.Print_Area" localSheetId="0">Riskprofile!$A$1:$AJ$5</definedName>
    <definedName name="_xlnm.Print_Area" localSheetId="1">Riskregister!$A$1:$Z$92</definedName>
    <definedName name="_xlnm.Print_Titles" localSheetId="0">Riskprofile!$3:$5</definedName>
    <definedName name="_xlnm.Print_Titles" localSheetId="1">Riskregister!$3:$5</definedName>
  </definedNames>
  <calcPr calcId="191029"/>
</workbook>
</file>

<file path=xl/calcChain.xml><?xml version="1.0" encoding="utf-8"?>
<calcChain xmlns="http://schemas.openxmlformats.org/spreadsheetml/2006/main">
  <c r="M69" i="1" l="1"/>
  <c r="U69" i="1" s="1"/>
  <c r="L69" i="1"/>
  <c r="T69" i="1" s="1"/>
  <c r="J69" i="1"/>
  <c r="M68" i="1"/>
  <c r="U68" i="1" s="1"/>
  <c r="L68" i="1"/>
  <c r="T68" i="1" s="1"/>
  <c r="J68" i="1"/>
  <c r="M67" i="1"/>
  <c r="U67" i="1" s="1"/>
  <c r="L67" i="1"/>
  <c r="T67" i="1" s="1"/>
  <c r="J67" i="1"/>
  <c r="M66" i="1"/>
  <c r="L66" i="1"/>
  <c r="T66" i="1" s="1"/>
  <c r="J66" i="1"/>
  <c r="U65" i="1"/>
  <c r="Y65" i="1" s="1"/>
  <c r="Z65" i="1" s="1"/>
  <c r="T65" i="1"/>
  <c r="M65" i="1"/>
  <c r="L65" i="1"/>
  <c r="O65" i="1" s="1"/>
  <c r="J65" i="1"/>
  <c r="U64" i="1"/>
  <c r="Y64" i="1" s="1"/>
  <c r="Z64" i="1" s="1"/>
  <c r="T64" i="1"/>
  <c r="O64" i="1"/>
  <c r="M64" i="1"/>
  <c r="L64" i="1"/>
  <c r="J64" i="1"/>
  <c r="M63" i="1"/>
  <c r="U63" i="1" s="1"/>
  <c r="L63" i="1"/>
  <c r="O63" i="1" s="1"/>
  <c r="J63" i="1"/>
  <c r="M62" i="1"/>
  <c r="O62" i="1" s="1"/>
  <c r="L62" i="1"/>
  <c r="T62" i="1" s="1"/>
  <c r="J62" i="1"/>
  <c r="M61" i="1"/>
  <c r="U61" i="1" s="1"/>
  <c r="L61" i="1"/>
  <c r="T61" i="1" s="1"/>
  <c r="J61" i="1"/>
  <c r="M60" i="1"/>
  <c r="U60" i="1" s="1"/>
  <c r="L60" i="1"/>
  <c r="T60" i="1" s="1"/>
  <c r="J60" i="1"/>
  <c r="M59" i="1"/>
  <c r="U59" i="1" s="1"/>
  <c r="L59" i="1"/>
  <c r="T59" i="1" s="1"/>
  <c r="J59" i="1"/>
  <c r="T58" i="1"/>
  <c r="M58" i="1"/>
  <c r="O58" i="1" s="1"/>
  <c r="L58" i="1"/>
  <c r="J58" i="1"/>
  <c r="M57" i="1"/>
  <c r="O57" i="1" s="1"/>
  <c r="L57" i="1"/>
  <c r="T57" i="1" s="1"/>
  <c r="J57" i="1"/>
  <c r="M56" i="1"/>
  <c r="O56" i="1" s="1"/>
  <c r="L56" i="1"/>
  <c r="T56" i="1" s="1"/>
  <c r="J56" i="1"/>
  <c r="M55" i="1"/>
  <c r="L55" i="1"/>
  <c r="T55" i="1" s="1"/>
  <c r="J55" i="1"/>
  <c r="U54" i="1"/>
  <c r="Y54" i="1" s="1"/>
  <c r="Z54" i="1" s="1"/>
  <c r="M54" i="1"/>
  <c r="L54" i="1"/>
  <c r="T54" i="1" s="1"/>
  <c r="J54" i="1"/>
  <c r="M85" i="1"/>
  <c r="U85" i="1" s="1"/>
  <c r="L85" i="1"/>
  <c r="T85" i="1" s="1"/>
  <c r="J85" i="1"/>
  <c r="M84" i="1"/>
  <c r="U84" i="1" s="1"/>
  <c r="L84" i="1"/>
  <c r="T84" i="1" s="1"/>
  <c r="J84" i="1"/>
  <c r="O83" i="1"/>
  <c r="M83" i="1"/>
  <c r="U83" i="1" s="1"/>
  <c r="L83" i="1"/>
  <c r="T83" i="1" s="1"/>
  <c r="J83" i="1"/>
  <c r="M82" i="1"/>
  <c r="U82" i="1" s="1"/>
  <c r="Y82" i="1" s="1"/>
  <c r="Z82" i="1" s="1"/>
  <c r="L82" i="1"/>
  <c r="T82" i="1" s="1"/>
  <c r="J82" i="1"/>
  <c r="U81" i="1"/>
  <c r="T81" i="1"/>
  <c r="M81" i="1"/>
  <c r="L81" i="1"/>
  <c r="O81" i="1" s="1"/>
  <c r="J81" i="1"/>
  <c r="M80" i="1"/>
  <c r="L80" i="1"/>
  <c r="T80" i="1" s="1"/>
  <c r="J80" i="1"/>
  <c r="M79" i="1"/>
  <c r="U79" i="1" s="1"/>
  <c r="L79" i="1"/>
  <c r="T79" i="1" s="1"/>
  <c r="J79" i="1"/>
  <c r="M78" i="1"/>
  <c r="U78" i="1" s="1"/>
  <c r="L78" i="1"/>
  <c r="T78" i="1" s="1"/>
  <c r="J78" i="1"/>
  <c r="M77" i="1"/>
  <c r="U77" i="1" s="1"/>
  <c r="L77" i="1"/>
  <c r="T77" i="1" s="1"/>
  <c r="J77" i="1"/>
  <c r="M76" i="1"/>
  <c r="U76" i="1" s="1"/>
  <c r="L76" i="1"/>
  <c r="T76" i="1" s="1"/>
  <c r="J76" i="1"/>
  <c r="M75" i="1"/>
  <c r="U75" i="1" s="1"/>
  <c r="L75" i="1"/>
  <c r="T75" i="1" s="1"/>
  <c r="J75" i="1"/>
  <c r="M74" i="1"/>
  <c r="U74" i="1" s="1"/>
  <c r="Y74" i="1" s="1"/>
  <c r="Z74" i="1" s="1"/>
  <c r="L74" i="1"/>
  <c r="T74" i="1" s="1"/>
  <c r="J74" i="1"/>
  <c r="M73" i="1"/>
  <c r="L73" i="1"/>
  <c r="T73" i="1" s="1"/>
  <c r="J73" i="1"/>
  <c r="M72" i="1"/>
  <c r="U72" i="1" s="1"/>
  <c r="Y72" i="1" s="1"/>
  <c r="Z72" i="1" s="1"/>
  <c r="L72" i="1"/>
  <c r="T72" i="1" s="1"/>
  <c r="J72" i="1"/>
  <c r="M71" i="1"/>
  <c r="U71" i="1" s="1"/>
  <c r="L71" i="1"/>
  <c r="T71" i="1" s="1"/>
  <c r="J71" i="1"/>
  <c r="M70" i="1"/>
  <c r="U70" i="1" s="1"/>
  <c r="L70" i="1"/>
  <c r="T70" i="1" s="1"/>
  <c r="J70" i="1"/>
  <c r="M93" i="1"/>
  <c r="U93" i="1" s="1"/>
  <c r="L93" i="1"/>
  <c r="T93" i="1" s="1"/>
  <c r="J93" i="1"/>
  <c r="M92" i="1"/>
  <c r="U92" i="1" s="1"/>
  <c r="L92" i="1"/>
  <c r="T92" i="1" s="1"/>
  <c r="J92" i="1"/>
  <c r="M91" i="1"/>
  <c r="U91" i="1" s="1"/>
  <c r="L91" i="1"/>
  <c r="T91" i="1" s="1"/>
  <c r="J91" i="1"/>
  <c r="M90" i="1"/>
  <c r="O90" i="1" s="1"/>
  <c r="L90" i="1"/>
  <c r="T90" i="1" s="1"/>
  <c r="J90" i="1"/>
  <c r="M89" i="1"/>
  <c r="L89" i="1"/>
  <c r="T89" i="1" s="1"/>
  <c r="J89" i="1"/>
  <c r="M88" i="1"/>
  <c r="L88" i="1"/>
  <c r="T88" i="1" s="1"/>
  <c r="J88" i="1"/>
  <c r="M87" i="1"/>
  <c r="L87" i="1"/>
  <c r="T87" i="1" s="1"/>
  <c r="J87" i="1"/>
  <c r="M86" i="1"/>
  <c r="L86" i="1"/>
  <c r="T86" i="1" s="1"/>
  <c r="J86" i="1"/>
  <c r="M97" i="1"/>
  <c r="U97" i="1" s="1"/>
  <c r="L97" i="1"/>
  <c r="T97" i="1" s="1"/>
  <c r="J97" i="1"/>
  <c r="M96" i="1"/>
  <c r="U96" i="1" s="1"/>
  <c r="L96" i="1"/>
  <c r="T96" i="1" s="1"/>
  <c r="J96" i="1"/>
  <c r="M95" i="1"/>
  <c r="U95" i="1" s="1"/>
  <c r="L95" i="1"/>
  <c r="T95" i="1" s="1"/>
  <c r="J95" i="1"/>
  <c r="T94" i="1"/>
  <c r="M94" i="1"/>
  <c r="O94" i="1" s="1"/>
  <c r="L94" i="1"/>
  <c r="J94" i="1"/>
  <c r="M99" i="1"/>
  <c r="U99" i="1" s="1"/>
  <c r="L99" i="1"/>
  <c r="T99" i="1" s="1"/>
  <c r="J99" i="1"/>
  <c r="M98" i="1"/>
  <c r="U98" i="1" s="1"/>
  <c r="L98" i="1"/>
  <c r="T98" i="1" s="1"/>
  <c r="J98" i="1"/>
  <c r="M101" i="1"/>
  <c r="U101" i="1" s="1"/>
  <c r="L101" i="1"/>
  <c r="T101" i="1" s="1"/>
  <c r="J101" i="1"/>
  <c r="M100" i="1"/>
  <c r="U100" i="1" s="1"/>
  <c r="L100" i="1"/>
  <c r="T100" i="1" s="1"/>
  <c r="J100" i="1"/>
  <c r="M53" i="1"/>
  <c r="U53" i="1" s="1"/>
  <c r="L53" i="1"/>
  <c r="T53" i="1" s="1"/>
  <c r="J53" i="1"/>
  <c r="M52" i="1"/>
  <c r="U52" i="1" s="1"/>
  <c r="L52" i="1"/>
  <c r="T52" i="1" s="1"/>
  <c r="J52" i="1"/>
  <c r="M51" i="1"/>
  <c r="U51" i="1" s="1"/>
  <c r="L51" i="1"/>
  <c r="J51" i="1"/>
  <c r="M50" i="1"/>
  <c r="U50" i="1" s="1"/>
  <c r="L50" i="1"/>
  <c r="T50" i="1" s="1"/>
  <c r="J50" i="1"/>
  <c r="M49" i="1"/>
  <c r="U49" i="1" s="1"/>
  <c r="Y49" i="1" s="1"/>
  <c r="Z49" i="1" s="1"/>
  <c r="L49" i="1"/>
  <c r="T49" i="1" s="1"/>
  <c r="J49" i="1"/>
  <c r="M48" i="1"/>
  <c r="U48" i="1" s="1"/>
  <c r="L48" i="1"/>
  <c r="T48" i="1" s="1"/>
  <c r="J48" i="1"/>
  <c r="M47" i="1"/>
  <c r="U47" i="1" s="1"/>
  <c r="L47" i="1"/>
  <c r="T47" i="1" s="1"/>
  <c r="J47" i="1"/>
  <c r="M46" i="1"/>
  <c r="U46" i="1" s="1"/>
  <c r="L46" i="1"/>
  <c r="T46" i="1" s="1"/>
  <c r="J46" i="1"/>
  <c r="M45" i="1"/>
  <c r="U45" i="1" s="1"/>
  <c r="L45" i="1"/>
  <c r="T45" i="1" s="1"/>
  <c r="J45" i="1"/>
  <c r="M44" i="1"/>
  <c r="U44" i="1" s="1"/>
  <c r="L44" i="1"/>
  <c r="T44" i="1" s="1"/>
  <c r="J44" i="1"/>
  <c r="M43" i="1"/>
  <c r="U43" i="1" s="1"/>
  <c r="L43" i="1"/>
  <c r="T43" i="1" s="1"/>
  <c r="J43" i="1"/>
  <c r="M42" i="1"/>
  <c r="L42" i="1"/>
  <c r="T42" i="1" s="1"/>
  <c r="J42" i="1"/>
  <c r="M41" i="1"/>
  <c r="U41" i="1" s="1"/>
  <c r="L41" i="1"/>
  <c r="T41" i="1" s="1"/>
  <c r="J41" i="1"/>
  <c r="M40" i="1"/>
  <c r="U40" i="1" s="1"/>
  <c r="L40" i="1"/>
  <c r="T40" i="1" s="1"/>
  <c r="J40" i="1"/>
  <c r="M39" i="1"/>
  <c r="U39" i="1" s="1"/>
  <c r="L39" i="1"/>
  <c r="T39" i="1" s="1"/>
  <c r="J39" i="1"/>
  <c r="M38" i="1"/>
  <c r="U38" i="1" s="1"/>
  <c r="Y38" i="1" s="1"/>
  <c r="Z38" i="1" s="1"/>
  <c r="L38" i="1"/>
  <c r="T38" i="1" s="1"/>
  <c r="J38" i="1"/>
  <c r="M37" i="1"/>
  <c r="L37" i="1"/>
  <c r="T37" i="1" s="1"/>
  <c r="J37" i="1"/>
  <c r="M36" i="1"/>
  <c r="U36" i="1" s="1"/>
  <c r="L36" i="1"/>
  <c r="T36" i="1" s="1"/>
  <c r="J36" i="1"/>
  <c r="M35" i="1"/>
  <c r="U35" i="1" s="1"/>
  <c r="L35" i="1"/>
  <c r="T35" i="1" s="1"/>
  <c r="J35" i="1"/>
  <c r="M34" i="1"/>
  <c r="U34" i="1" s="1"/>
  <c r="L34" i="1"/>
  <c r="T34" i="1" s="1"/>
  <c r="J34" i="1"/>
  <c r="M33" i="1"/>
  <c r="U33" i="1" s="1"/>
  <c r="L33" i="1"/>
  <c r="T33" i="1" s="1"/>
  <c r="J33" i="1"/>
  <c r="M32" i="1"/>
  <c r="U32" i="1" s="1"/>
  <c r="L32" i="1"/>
  <c r="T32" i="1" s="1"/>
  <c r="J32" i="1"/>
  <c r="U31" i="1"/>
  <c r="Y31" i="1" s="1"/>
  <c r="Z31" i="1" s="1"/>
  <c r="T31" i="1"/>
  <c r="O31" i="1"/>
  <c r="J31" i="1"/>
  <c r="O30" i="1"/>
  <c r="U30" i="1"/>
  <c r="Y30" i="1" s="1"/>
  <c r="Z30" i="1" s="1"/>
  <c r="T30" i="1"/>
  <c r="J30" i="1"/>
  <c r="O86" i="1" l="1"/>
  <c r="O88" i="1"/>
  <c r="W81" i="1"/>
  <c r="Y63" i="1"/>
  <c r="Z63" i="1" s="1"/>
  <c r="O73" i="1"/>
  <c r="U73" i="1"/>
  <c r="Y73" i="1" s="1"/>
  <c r="Z73" i="1" s="1"/>
  <c r="O55" i="1"/>
  <c r="W64" i="1"/>
  <c r="U56" i="1"/>
  <c r="U57" i="1"/>
  <c r="Y57" i="1" s="1"/>
  <c r="Z57" i="1" s="1"/>
  <c r="O59" i="1"/>
  <c r="O66" i="1"/>
  <c r="O67" i="1"/>
  <c r="O80" i="1"/>
  <c r="T63" i="1"/>
  <c r="W63" i="1" s="1"/>
  <c r="U55" i="1"/>
  <c r="U62" i="1"/>
  <c r="Y62" i="1" s="1"/>
  <c r="Z62" i="1" s="1"/>
  <c r="O79" i="1"/>
  <c r="Y60" i="1"/>
  <c r="Z60" i="1" s="1"/>
  <c r="W60" i="1"/>
  <c r="Y69" i="1"/>
  <c r="Z69" i="1" s="1"/>
  <c r="W69" i="1"/>
  <c r="Y67" i="1"/>
  <c r="Z67" i="1" s="1"/>
  <c r="W67" i="1"/>
  <c r="Y61" i="1"/>
  <c r="Z61" i="1" s="1"/>
  <c r="W61" i="1"/>
  <c r="Y59" i="1"/>
  <c r="Z59" i="1" s="1"/>
  <c r="W59" i="1"/>
  <c r="Y68" i="1"/>
  <c r="Z68" i="1" s="1"/>
  <c r="W68" i="1"/>
  <c r="O87" i="1"/>
  <c r="O74" i="1"/>
  <c r="U80" i="1"/>
  <c r="Y80" i="1" s="1"/>
  <c r="Z80" i="1" s="1"/>
  <c r="U58" i="1"/>
  <c r="O60" i="1"/>
  <c r="W65" i="1"/>
  <c r="U66" i="1"/>
  <c r="O68" i="1"/>
  <c r="O82" i="1"/>
  <c r="O61" i="1"/>
  <c r="O69" i="1"/>
  <c r="O54" i="1"/>
  <c r="O71" i="1"/>
  <c r="U86" i="1"/>
  <c r="Y86" i="1" s="1"/>
  <c r="Z86" i="1" s="1"/>
  <c r="U88" i="1"/>
  <c r="Y88" i="1" s="1"/>
  <c r="Z88" i="1" s="1"/>
  <c r="W72" i="1"/>
  <c r="W54" i="1"/>
  <c r="O72" i="1"/>
  <c r="O75" i="1"/>
  <c r="Y70" i="1"/>
  <c r="Z70" i="1" s="1"/>
  <c r="W70" i="1"/>
  <c r="Y78" i="1"/>
  <c r="Z78" i="1" s="1"/>
  <c r="W78" i="1"/>
  <c r="W71" i="1"/>
  <c r="Y71" i="1"/>
  <c r="Z71" i="1" s="1"/>
  <c r="Y76" i="1"/>
  <c r="Z76" i="1" s="1"/>
  <c r="W76" i="1"/>
  <c r="W79" i="1"/>
  <c r="Y79" i="1"/>
  <c r="Z79" i="1" s="1"/>
  <c r="W84" i="1"/>
  <c r="Y84" i="1"/>
  <c r="Z84" i="1" s="1"/>
  <c r="Y75" i="1"/>
  <c r="Z75" i="1" s="1"/>
  <c r="W75" i="1"/>
  <c r="Y77" i="1"/>
  <c r="Z77" i="1" s="1"/>
  <c r="W77" i="1"/>
  <c r="Y83" i="1"/>
  <c r="Z83" i="1" s="1"/>
  <c r="W83" i="1"/>
  <c r="Y85" i="1"/>
  <c r="Z85" i="1" s="1"/>
  <c r="W85" i="1"/>
  <c r="U87" i="1"/>
  <c r="W87" i="1" s="1"/>
  <c r="W73" i="1"/>
  <c r="O76" i="1"/>
  <c r="O89" i="1"/>
  <c r="W74" i="1"/>
  <c r="O77" i="1"/>
  <c r="Y81" i="1"/>
  <c r="Z81" i="1" s="1"/>
  <c r="W82" i="1"/>
  <c r="O85" i="1"/>
  <c r="O84" i="1"/>
  <c r="O70" i="1"/>
  <c r="O78" i="1"/>
  <c r="Y91" i="1"/>
  <c r="Z91" i="1" s="1"/>
  <c r="W91" i="1"/>
  <c r="Y92" i="1"/>
  <c r="Z92" i="1" s="1"/>
  <c r="W92" i="1"/>
  <c r="Y93" i="1"/>
  <c r="Z93" i="1" s="1"/>
  <c r="W93" i="1"/>
  <c r="U89" i="1"/>
  <c r="O91" i="1"/>
  <c r="U90" i="1"/>
  <c r="O92" i="1"/>
  <c r="O93" i="1"/>
  <c r="Y95" i="1"/>
  <c r="Z95" i="1" s="1"/>
  <c r="W95" i="1"/>
  <c r="Y97" i="1"/>
  <c r="Z97" i="1" s="1"/>
  <c r="W97" i="1"/>
  <c r="Y96" i="1"/>
  <c r="Z96" i="1" s="1"/>
  <c r="W96" i="1"/>
  <c r="U94" i="1"/>
  <c r="O96" i="1"/>
  <c r="O95" i="1"/>
  <c r="O97" i="1"/>
  <c r="O99" i="1"/>
  <c r="W99" i="1"/>
  <c r="Y99" i="1"/>
  <c r="Z99" i="1" s="1"/>
  <c r="Y98" i="1"/>
  <c r="Z98" i="1" s="1"/>
  <c r="W98" i="1"/>
  <c r="O98" i="1"/>
  <c r="O101" i="1"/>
  <c r="Y101" i="1"/>
  <c r="Z101" i="1" s="1"/>
  <c r="W101" i="1"/>
  <c r="Y100" i="1"/>
  <c r="Z100" i="1" s="1"/>
  <c r="W100" i="1"/>
  <c r="O100" i="1"/>
  <c r="O53" i="1"/>
  <c r="Y53" i="1"/>
  <c r="Z53" i="1" s="1"/>
  <c r="W53" i="1"/>
  <c r="W52" i="1"/>
  <c r="Y52" i="1"/>
  <c r="Z52" i="1" s="1"/>
  <c r="O52" i="1"/>
  <c r="O51" i="1"/>
  <c r="Y51" i="1"/>
  <c r="Z51" i="1" s="1"/>
  <c r="T51" i="1"/>
  <c r="W51" i="1" s="1"/>
  <c r="Y50" i="1"/>
  <c r="Z50" i="1" s="1"/>
  <c r="W50" i="1"/>
  <c r="O50" i="1"/>
  <c r="O49" i="1"/>
  <c r="W49" i="1"/>
  <c r="O48" i="1"/>
  <c r="W48" i="1"/>
  <c r="Y48" i="1"/>
  <c r="Z48" i="1" s="1"/>
  <c r="Y47" i="1"/>
  <c r="Z47" i="1" s="1"/>
  <c r="W47" i="1"/>
  <c r="O47" i="1"/>
  <c r="Y46" i="1"/>
  <c r="Z46" i="1" s="1"/>
  <c r="W46" i="1"/>
  <c r="O46" i="1"/>
  <c r="Y45" i="1"/>
  <c r="Z45" i="1" s="1"/>
  <c r="W45" i="1"/>
  <c r="O45" i="1"/>
  <c r="W44" i="1"/>
  <c r="Y44" i="1"/>
  <c r="Z44" i="1" s="1"/>
  <c r="O44" i="1"/>
  <c r="Y43" i="1"/>
  <c r="Z43" i="1" s="1"/>
  <c r="W43" i="1"/>
  <c r="O43" i="1"/>
  <c r="O42" i="1"/>
  <c r="U42" i="1"/>
  <c r="W42" i="1" s="1"/>
  <c r="Y41" i="1"/>
  <c r="Z41" i="1" s="1"/>
  <c r="W41" i="1"/>
  <c r="O41" i="1"/>
  <c r="Y40" i="1"/>
  <c r="Z40" i="1" s="1"/>
  <c r="W40" i="1"/>
  <c r="O40" i="1"/>
  <c r="O39" i="1"/>
  <c r="W39" i="1"/>
  <c r="Y39" i="1"/>
  <c r="Z39" i="1" s="1"/>
  <c r="O38" i="1"/>
  <c r="W38" i="1"/>
  <c r="O37" i="1"/>
  <c r="U37" i="1"/>
  <c r="Y37" i="1" s="1"/>
  <c r="Z37" i="1" s="1"/>
  <c r="O36" i="1"/>
  <c r="Y36" i="1"/>
  <c r="Z36" i="1" s="1"/>
  <c r="W36" i="1"/>
  <c r="O34" i="1"/>
  <c r="W35" i="1"/>
  <c r="Y35" i="1"/>
  <c r="Z35" i="1" s="1"/>
  <c r="O35" i="1"/>
  <c r="Y34" i="1"/>
  <c r="Z34" i="1" s="1"/>
  <c r="W34" i="1"/>
  <c r="Y32" i="1"/>
  <c r="Z32" i="1" s="1"/>
  <c r="W32" i="1"/>
  <c r="Y33" i="1"/>
  <c r="Z33" i="1" s="1"/>
  <c r="W33" i="1"/>
  <c r="O32" i="1"/>
  <c r="O33" i="1"/>
  <c r="W31" i="1"/>
  <c r="W30" i="1"/>
  <c r="W88" i="1" l="1"/>
  <c r="W55" i="1"/>
  <c r="Y55" i="1"/>
  <c r="Z55" i="1" s="1"/>
  <c r="W56" i="1"/>
  <c r="Y56" i="1"/>
  <c r="Z56" i="1" s="1"/>
  <c r="W80" i="1"/>
  <c r="W62" i="1"/>
  <c r="Y87" i="1"/>
  <c r="Z87" i="1" s="1"/>
  <c r="W57" i="1"/>
  <c r="W86" i="1"/>
  <c r="Y58" i="1"/>
  <c r="Z58" i="1" s="1"/>
  <c r="W58" i="1"/>
  <c r="Y66" i="1"/>
  <c r="Z66" i="1" s="1"/>
  <c r="W66" i="1"/>
  <c r="W90" i="1"/>
  <c r="Y90" i="1"/>
  <c r="Z90" i="1" s="1"/>
  <c r="Y89" i="1"/>
  <c r="Z89" i="1" s="1"/>
  <c r="W89" i="1"/>
  <c r="Y94" i="1"/>
  <c r="Z94" i="1" s="1"/>
  <c r="W94" i="1"/>
  <c r="Y42" i="1"/>
  <c r="Z42" i="1" s="1"/>
  <c r="W37" i="1"/>
  <c r="U29" i="1" l="1"/>
  <c r="T29" i="1"/>
  <c r="J29" i="1"/>
  <c r="Y6" i="1"/>
  <c r="X28" i="1"/>
  <c r="X25" i="1"/>
  <c r="X26" i="1" s="1"/>
  <c r="X24" i="1"/>
  <c r="X19" i="1"/>
  <c r="X18" i="1"/>
  <c r="Y17" i="1"/>
  <c r="X6" i="1"/>
  <c r="Y25" i="1"/>
  <c r="Y24" i="1"/>
  <c r="Y23" i="1"/>
  <c r="Y22" i="1"/>
  <c r="Y21" i="1"/>
  <c r="Y20" i="1"/>
  <c r="Y19" i="1"/>
  <c r="Y18" i="1"/>
  <c r="Y16" i="1"/>
  <c r="Y15" i="1"/>
  <c r="Y14" i="1"/>
  <c r="Y13" i="1"/>
  <c r="Y12" i="1"/>
  <c r="Y11" i="1"/>
  <c r="Y10" i="1"/>
  <c r="Y9" i="1"/>
  <c r="Y8" i="1"/>
  <c r="Y7" i="1"/>
  <c r="X11" i="1"/>
  <c r="X10" i="1"/>
  <c r="X22" i="1" s="1"/>
  <c r="AJ10" i="1"/>
  <c r="X8" i="1"/>
  <c r="X7" i="1"/>
  <c r="J7" i="1"/>
  <c r="Z6" i="1" l="1"/>
  <c r="Y29" i="1"/>
  <c r="Z29" i="1" s="1"/>
  <c r="W29" i="1"/>
  <c r="O29" i="1"/>
  <c r="Z23" i="1"/>
  <c r="W23" i="1"/>
  <c r="O23" i="1"/>
  <c r="J23" i="1"/>
  <c r="M28" i="1"/>
  <c r="U28" i="1" s="1"/>
  <c r="Y28" i="1" s="1"/>
  <c r="Z28" i="1" s="1"/>
  <c r="L28" i="1"/>
  <c r="T28" i="1" s="1"/>
  <c r="J28" i="1"/>
  <c r="M27" i="1"/>
  <c r="U27" i="1" s="1"/>
  <c r="Y27" i="1" s="1"/>
  <c r="Z27" i="1" s="1"/>
  <c r="L27" i="1"/>
  <c r="T27" i="1" s="1"/>
  <c r="J27" i="1"/>
  <c r="W7" i="1"/>
  <c r="W8" i="1"/>
  <c r="W9" i="1"/>
  <c r="W10" i="1"/>
  <c r="W11" i="1"/>
  <c r="W12" i="1"/>
  <c r="W13" i="1"/>
  <c r="W14" i="1"/>
  <c r="W15" i="1"/>
  <c r="W16" i="1"/>
  <c r="W17" i="1"/>
  <c r="W18" i="1"/>
  <c r="W19" i="1"/>
  <c r="W20" i="1"/>
  <c r="W21" i="1"/>
  <c r="W22" i="1"/>
  <c r="W24" i="1"/>
  <c r="W25" i="1"/>
  <c r="W6" i="1"/>
  <c r="O7" i="1"/>
  <c r="O8" i="1"/>
  <c r="O9" i="1"/>
  <c r="O10" i="1"/>
  <c r="O11" i="1"/>
  <c r="O12" i="1"/>
  <c r="O13" i="1"/>
  <c r="O14" i="1"/>
  <c r="O15" i="1"/>
  <c r="O16" i="1"/>
  <c r="O17" i="1"/>
  <c r="O18" i="1"/>
  <c r="O19" i="1"/>
  <c r="O20" i="1"/>
  <c r="O21" i="1"/>
  <c r="O22" i="1"/>
  <c r="O24" i="1"/>
  <c r="O25" i="1"/>
  <c r="O6" i="1"/>
  <c r="J8" i="1"/>
  <c r="J9" i="1"/>
  <c r="J10" i="1"/>
  <c r="J11" i="1"/>
  <c r="J12" i="1"/>
  <c r="J13" i="1"/>
  <c r="J14" i="1"/>
  <c r="J15" i="1"/>
  <c r="J16" i="1"/>
  <c r="J17" i="1"/>
  <c r="J18" i="1"/>
  <c r="J19" i="1"/>
  <c r="J20" i="1"/>
  <c r="J21" i="1"/>
  <c r="J22" i="1"/>
  <c r="J24" i="1"/>
  <c r="J25" i="1"/>
  <c r="J26" i="1"/>
  <c r="J6" i="1"/>
  <c r="L26" i="1"/>
  <c r="T26" i="1" s="1"/>
  <c r="M26" i="1"/>
  <c r="U26" i="1" s="1"/>
  <c r="Y26" i="1" s="1"/>
  <c r="Z26" i="1" s="1"/>
  <c r="Z7" i="1"/>
  <c r="Z8" i="1"/>
  <c r="Z9" i="1"/>
  <c r="Z10" i="1"/>
  <c r="Z11" i="1"/>
  <c r="Z12" i="1"/>
  <c r="Z13" i="1"/>
  <c r="Z14" i="1"/>
  <c r="Z15" i="1"/>
  <c r="Z16" i="1"/>
  <c r="Z17" i="1"/>
  <c r="Z18" i="1"/>
  <c r="Z19" i="1"/>
  <c r="Z20" i="1"/>
  <c r="Z21" i="1"/>
  <c r="Z22" i="1"/>
  <c r="Z24" i="1"/>
  <c r="Z25" i="1"/>
  <c r="D2" i="1"/>
  <c r="A2" i="2"/>
  <c r="W26" i="1" l="1"/>
  <c r="W28" i="1"/>
  <c r="O28" i="1"/>
  <c r="W27" i="1"/>
  <c r="O27" i="1"/>
  <c r="O26" i="1"/>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6" i="2"/>
  <c r="AI61" i="2" l="1"/>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I7" i="2" l="1"/>
  <c r="AI6" i="2"/>
  <c r="E4" i="2" l="1"/>
  <c r="D4" i="2"/>
  <c r="C4" i="2"/>
  <c r="B4" i="2"/>
  <c r="D26" i="3" l="1"/>
  <c r="C26" i="3"/>
  <c r="H9" i="3"/>
  <c r="G9" i="3"/>
  <c r="F9" i="3"/>
  <c r="E9" i="3"/>
  <c r="D9" i="3"/>
  <c r="H8" i="3"/>
  <c r="G8" i="3"/>
  <c r="F8" i="3"/>
  <c r="E8" i="3"/>
  <c r="D8" i="3"/>
  <c r="B11" i="3"/>
  <c r="C11" i="3"/>
  <c r="B12" i="3"/>
  <c r="C12" i="3"/>
  <c r="B13" i="3"/>
  <c r="C13" i="3"/>
  <c r="B14" i="3"/>
  <c r="C14" i="3"/>
  <c r="C10" i="3"/>
  <c r="B10" i="3"/>
</calcChain>
</file>

<file path=xl/sharedStrings.xml><?xml version="1.0" encoding="utf-8"?>
<sst xmlns="http://schemas.openxmlformats.org/spreadsheetml/2006/main" count="764" uniqueCount="348">
  <si>
    <t>Matrix of Risk</t>
  </si>
  <si>
    <t>Likelihood</t>
  </si>
  <si>
    <t>Almost certain</t>
  </si>
  <si>
    <t>Likely</t>
  </si>
  <si>
    <t>Possible</t>
  </si>
  <si>
    <t>Unlikely</t>
  </si>
  <si>
    <t>Very unlikely</t>
  </si>
  <si>
    <t>Consequence</t>
  </si>
  <si>
    <t>Minor</t>
  </si>
  <si>
    <t>Major</t>
  </si>
  <si>
    <t>Severe</t>
  </si>
  <si>
    <t>Critical</t>
  </si>
  <si>
    <t>Catastrophic</t>
  </si>
  <si>
    <t>Likihood definition</t>
  </si>
  <si>
    <t>Scale</t>
  </si>
  <si>
    <t>Definition</t>
  </si>
  <si>
    <t>Almost certain to occur</t>
  </si>
  <si>
    <t>Likely to occur</t>
  </si>
  <si>
    <t>Possible sometime during the project</t>
  </si>
  <si>
    <t>Unlikely to occur</t>
  </si>
  <si>
    <t>Very unlikely, it can be assumed that it may not be experienced</t>
  </si>
  <si>
    <t>Could result in fatality, irrecoverable financial loss, project shutdown</t>
  </si>
  <si>
    <t>Could result in disability, great financial loss, serious project consequences to time and budget exceeding 2 months</t>
  </si>
  <si>
    <t>Could result in permanent dissability, major financial loss, severe project consequences to time (delays greater than 2 weeks up to 2 months) losses up to XXX million Peso</t>
  </si>
  <si>
    <t>Could result in injury or illness resulting in one or more lost work days, financial loss to XXX million Peso, delays up to 2 weeks</t>
  </si>
  <si>
    <t>Could result in injury or illness and not resulting in a lost work day. Small variation, delay of 1 day or less</t>
  </si>
  <si>
    <t>Ref</t>
  </si>
  <si>
    <t>Risk Category</t>
  </si>
  <si>
    <t>Brief descriptor</t>
  </si>
  <si>
    <t>Hazards/Threads</t>
  </si>
  <si>
    <t>Potential Consequence</t>
  </si>
  <si>
    <t>Unmitigated</t>
  </si>
  <si>
    <t>L</t>
  </si>
  <si>
    <t>C</t>
  </si>
  <si>
    <t>Current Risk reduction measurement</t>
  </si>
  <si>
    <t>Current</t>
  </si>
  <si>
    <t>Prepared risk reduction measurement</t>
  </si>
  <si>
    <t>Mitigated</t>
  </si>
  <si>
    <t>Action by</t>
  </si>
  <si>
    <t>Action status</t>
  </si>
  <si>
    <t>Definition of Likelihood</t>
  </si>
  <si>
    <t>Definition of Consequences</t>
  </si>
  <si>
    <r>
      <rPr>
        <b/>
        <u/>
        <sz val="11"/>
        <color theme="1"/>
        <rFont val="Calibri"/>
        <family val="2"/>
        <scheme val="minor"/>
      </rPr>
      <t>Note:</t>
    </r>
    <r>
      <rPr>
        <sz val="11"/>
        <color theme="1"/>
        <rFont val="Calibri"/>
        <family val="2"/>
        <scheme val="minor"/>
      </rPr>
      <t xml:space="preserve"> Users can change the definitions of likelihood and consequence to suit the targeted project</t>
    </r>
  </si>
  <si>
    <t xml:space="preserve">Risk Category </t>
  </si>
  <si>
    <t xml:space="preserve">Team </t>
  </si>
  <si>
    <t xml:space="preserve">Chair </t>
  </si>
  <si>
    <t>Approvals</t>
  </si>
  <si>
    <t>Stakeholders</t>
  </si>
  <si>
    <t xml:space="preserve">Commissioning </t>
  </si>
  <si>
    <t>Procurement</t>
  </si>
  <si>
    <t>Delivery</t>
  </si>
  <si>
    <t xml:space="preserve">Environment </t>
  </si>
  <si>
    <t>No.</t>
  </si>
  <si>
    <t>Action time</t>
  </si>
  <si>
    <t>Commenced</t>
  </si>
  <si>
    <t>Not commenced</t>
  </si>
  <si>
    <t>On going</t>
  </si>
  <si>
    <t>(days)</t>
  </si>
  <si>
    <t>Risk</t>
  </si>
  <si>
    <t>Last month</t>
  </si>
  <si>
    <t>RISKs</t>
  </si>
  <si>
    <t>Champion</t>
  </si>
  <si>
    <t>Graphical Representation of RISKs</t>
  </si>
  <si>
    <t>RISK PROFILE</t>
  </si>
  <si>
    <t>RISK REGISTER</t>
  </si>
  <si>
    <t>Status</t>
  </si>
  <si>
    <t>Designed and managed by Dr. Nam Le (https://namkyodai.github.io )</t>
  </si>
  <si>
    <t>www.arcadis.com</t>
  </si>
  <si>
    <t>Report Date:</t>
  </si>
  <si>
    <t>Planning &amp; scoping</t>
  </si>
  <si>
    <t>Arcadis</t>
  </si>
  <si>
    <t>Design</t>
  </si>
  <si>
    <t>HSE</t>
  </si>
  <si>
    <t>Quantitative Measurement</t>
  </si>
  <si>
    <t>Value (Peso)</t>
  </si>
  <si>
    <t>Probability</t>
  </si>
  <si>
    <t>Survey</t>
  </si>
  <si>
    <t>VHHI</t>
  </si>
  <si>
    <t>WMP</t>
  </si>
  <si>
    <t>Team</t>
  </si>
  <si>
    <t>CorEnergy</t>
  </si>
  <si>
    <t>EPC Contract - Definition</t>
  </si>
  <si>
    <t>EPC Contract - Labor</t>
  </si>
  <si>
    <t>EPC Contract - Performance Security</t>
  </si>
  <si>
    <t>EPC Contract - Overall</t>
  </si>
  <si>
    <t>EPC Contract, if poorly prepared with only generic terms and clauses, might post a great no. of risks for the Employer.</t>
  </si>
  <si>
    <t>WMP might see the holes in the Contract and will try to make use of it for having less stringent design, for procuring long lead items without going through proper QA/QC process, as well as to raise VOs in the future.</t>
  </si>
  <si>
    <t>VHHI and Arcadis has been working closely together to rewrite the EPC Contract following the international practice of using FIDIC guideline. Precisely, we use FIDIC Silver Book 2017 Edition. 
Weekly meetings and working sessions between VHHI and Arcadis has been implemented to go through all Clauses and Articles of GC and PC.</t>
  </si>
  <si>
    <t>EPC Contract - Overall - Revision using FIDIC Silver book 2017 Edition</t>
  </si>
  <si>
    <t>Since WMP has executed works, especially on design. Adding in new PC might infers a certain risk if WMP has not agree on.</t>
  </si>
  <si>
    <t>The signing of the EPC Contract can be deferred longer than planned date.</t>
  </si>
  <si>
    <t>Same as current risk measurement</t>
  </si>
  <si>
    <t>VHHI has sent WMP the Contract for early review. Arcadis and VHHI to agree on having weekly working session with WMP to go over the GC and PC of the Contract. This is a way to facilite the agreement and mutual understanding between VHHI and WMP.</t>
  </si>
  <si>
    <t>Not yet implemented</t>
  </si>
  <si>
    <t>EPC Contract - Contract Data - Dispute Board. FIDIC recommends to have an international DDB with 3 assigned arbitrators.</t>
  </si>
  <si>
    <t>Unable to appoint the DDP ontime.</t>
  </si>
  <si>
    <t>Might later lead to lengthly litigation process</t>
  </si>
  <si>
    <t>VHHI and WMP have come to an agreement on this as both parties are also shared holders of the same project.
VHHI has replaced the GC of for this requirement and replace its content with an appropriate Clauses.</t>
  </si>
  <si>
    <t>ER - Permit</t>
  </si>
  <si>
    <t>ER - Safety</t>
  </si>
  <si>
    <t>ER - Performance Requirements - Treated Water Quality Requirement and Guaranteed Portable Water.</t>
  </si>
  <si>
    <t>ER - Performance Requirements - Guaranteed Minimum Plant Availability</t>
  </si>
  <si>
    <t>ER - Performance Requirements - Pretreatment System Performance Requirement</t>
  </si>
  <si>
    <t>ER - Performance Requirements - Overall Plant Recovery</t>
  </si>
  <si>
    <t>ER - Performance Requirements - Guarantee Energy Consumption</t>
  </si>
  <si>
    <t>ER - Performance Requirements - Guarantee Chemical Consumption</t>
  </si>
  <si>
    <t>WMP requested VHHI for approval of long lead items subjected for PO due to the escallation in cost of materials.</t>
  </si>
  <si>
    <t>WMP might place PO for long lead items even prior to having its final design to be reviewed and finalized.</t>
  </si>
  <si>
    <t>Unclear definition and terminology in the Contract and ER.</t>
  </si>
  <si>
    <t>Having unclear definition might lead to miusunderstanding of requirements as well as lead to claims in the future.</t>
  </si>
  <si>
    <t>Labor requirements might not be in accordance to DOLE, in addition, lack of requirements on specific labor and resources on all phases.</t>
  </si>
  <si>
    <t>Contractor will find the way to employ non-qualified labors as well as not provide adequate level of resources during construction phase.</t>
  </si>
  <si>
    <t>WMP requested to remove the Perofrmance Security due to the nature of the Contract.</t>
  </si>
  <si>
    <t>Vivant will not be able to claim when the work stops.</t>
  </si>
  <si>
    <t>No clear indication and requirements on the list of permits as well as responsibilities.</t>
  </si>
  <si>
    <t>Having no permits will delay the NTP as well as create EOT from WMP.</t>
  </si>
  <si>
    <t>No guideline or documents to define the requirement on safety, particularly the penalty imposed on the Contractor.</t>
  </si>
  <si>
    <t>WMP will use it as a ground to bypass safety requirement and accident//incident probability of occurrence will increase. This eventually leads to serious safety violation.</t>
  </si>
  <si>
    <t>ER - Surveying Works - Deep Wells</t>
  </si>
  <si>
    <t>Insufficient data from existing surveying data</t>
  </si>
  <si>
    <t>Effect the design and might lead to less reliable design in term of choosing configuration and parameters, chemical dosing.</t>
  </si>
  <si>
    <t>ER - Surveying Works - Geotech investigations</t>
  </si>
  <si>
    <t>Lead to less or unreliabile foundation design and selection of foundation type.</t>
  </si>
  <si>
    <t>Lack or missing specific water quality requirements and guarantee of portable water</t>
  </si>
  <si>
    <t>Lead to fail in providing Functional Guarantees</t>
  </si>
  <si>
    <t xml:space="preserve">Current WMP design does not have engineering evidence on how the value of availability and reliability has been performed.
Note that under MCWD contract with VHHI, the 5 days of power interruption is considered as formajor event only. In addition to this, there is 5 days allowance for random plant repair and maintenance. How WMP used this value in their computation of reliability and availability. It looks like at the moment that this important part of analysis is missiong. </t>
  </si>
  <si>
    <t>Fail to meet Functional Guarantee from MCWD that leads to signifivant penalty and LD</t>
  </si>
  <si>
    <t>No specific performance requirement yet defined</t>
  </si>
  <si>
    <t>WMP might choose lower criteria types of materials that might lead to expensive O&amp;M cost after 1 year guarantee period.</t>
  </si>
  <si>
    <t>The plang might not be provide adequate level of services regarding the overal recovery.</t>
  </si>
  <si>
    <t>Leading to inefficiency and high OPEX</t>
  </si>
  <si>
    <t>WMP only recommend the Guarantee on kwh/m3 but refuse to guarantee on overal OPEX</t>
  </si>
  <si>
    <t>Affecting financial model and return on investment of VHHI if OPEX is significant higher than what has been simulated and submitted to stakeholders and investors.</t>
  </si>
  <si>
    <t>No clear indication of chemical consumption</t>
  </si>
  <si>
    <t>ER - Governing MCWD requirements on capacity and flow of additional 10% from the norminal 20 MLD</t>
  </si>
  <si>
    <t>Current WMP design might not address this additional capacity/flow of the WTP.</t>
  </si>
  <si>
    <t>If this occurs, it will lead to huge consequence as MCWD can declare that the WTP does not meet the requirement, leading to LD.</t>
  </si>
  <si>
    <t>Manufacturers/Suppliers might produce Long Lead items per POs that lead to claim and VO if the specs and configuration of items are to be modified/changed per design review and HAZOP.
In addition, WMP might use the advance payment cash not for this specific purpose but for other expenses.</t>
  </si>
  <si>
    <t>WBS and Scheduling</t>
  </si>
  <si>
    <t>To date, the WBS has not been well prepared by WMP. In addition, it seems that there is no professional scheduler has been engaged to the project.</t>
  </si>
  <si>
    <t xml:space="preserve">In proper scheduling without WBS will lead to inaccuracy of Schedule of Price as well as </t>
  </si>
  <si>
    <t>Arcadis and Vivant has performed a number of reviews to identify missing definition as well as the content of definition to ensure the completeness and accuracy.</t>
  </si>
  <si>
    <t>Arcadis and Vivant has provided clauses and sub-clauses specifically mentioning about labor requirements under DOLE as well as to fullfill the responsibility of WTP in respective phases.</t>
  </si>
  <si>
    <t>Request WMP to require Performance Security on SubCon. 
Vivant to discuss with upper management and legal to address this.</t>
  </si>
  <si>
    <t>Vivant and WMP to create a matrix of permits that shows clearly responsibility as well as indicative time lines.</t>
  </si>
  <si>
    <t>A entire section on safety has been prepared and dictated in the ER. On top of this, a document on penalty will be used.
WMP shall submit a safety management plan as part of its management plans.</t>
  </si>
  <si>
    <t>The team has used term and clause defined in the GC regarding the responsibility of WMP on surveying works.</t>
  </si>
  <si>
    <t>The team has defined clearly in the Functional Guarantee and ER, with a specific section on water quality requirement from MCWD as well as from the National Drinking Standard ver. 2017 of the Philippines</t>
  </si>
  <si>
    <t>Arcadis and VHHI have queried this point to WMP via workshop. However, no concrete answer with backup calculation has been provided.</t>
  </si>
  <si>
    <t>Arcadis has identified the requirements in the ER. However, as a matter of fact, the ER comes at this end of the design stage, so need to discuss with WMP for mutual understanding and agreement.</t>
  </si>
  <si>
    <t>Arcadis and VHHI has prepared Functional Guarantee with table and Schedule of Particulars requesting WMP to fill in as part of submitalls for signing the Contract.</t>
  </si>
  <si>
    <t>Arcadis and VHHI have identified this and include this requirement as part of the Functional Guarantee.
However, WMP is required to demonstrate that its current design has well addressed this requirement from MCWD.</t>
  </si>
  <si>
    <t>VHHI has prepared a Contract allowing WMP to negociate and fix the price with the suppliers/manufactuers for long lead items. However,WMP shall not oder specific items without approval from VHHI.</t>
  </si>
  <si>
    <t>Same as current rSisk measurement</t>
  </si>
  <si>
    <t>Vivant</t>
  </si>
  <si>
    <t>WMP's PCAB license</t>
  </si>
  <si>
    <t>No construction/installation activity can start without permits from local authority without PCAB license</t>
  </si>
  <si>
    <t>No PCAB license obtained prior to construction/installation works</t>
  </si>
  <si>
    <t>Suggest WMP to obtain PCAB licence by engaging local civil/structure Contractor who has already secured AAA PCAB license.</t>
  </si>
  <si>
    <t>WMP's Subconstructors for civil/structure and electrical works</t>
  </si>
  <si>
    <t>Local Contractor might have poor cashflow and financial status.</t>
  </si>
  <si>
    <t>Require in PC a Clause on minimum requirements for subcons to have good cash flow and PCAB license.</t>
  </si>
  <si>
    <t>Warranty Period</t>
  </si>
  <si>
    <t>Warranty Period for key long lead items might be expired prior to the end of Process Proving Priod.</t>
  </si>
  <si>
    <t>VHHI might bear the risk of having no guarantee and WPM might claim for.</t>
  </si>
  <si>
    <t>Define clearly in the ER on the requirement on warranty to be by the end of Process Proving period. Note that some major equipments such as GENSET, Transformer might need to have longer warranty period than just 1 year.</t>
  </si>
  <si>
    <t>Detailed Design Review</t>
  </si>
  <si>
    <t>No Detailed Design Review performed by a third party (e.g. consultant) as at the moment, the Employer's Representative (Arcadis) has only scope to perform Red Flag review.</t>
  </si>
  <si>
    <t>This lack of detailed review might cause serious consequence in case there is a major issue with the design narrative and calculation on all disciplines.</t>
  </si>
  <si>
    <t>VHHI needs to decide on this process as early as possible right after signing the EPC Contract.</t>
  </si>
  <si>
    <t>VHHI-Arcadis</t>
  </si>
  <si>
    <t xml:space="preserve"> </t>
  </si>
  <si>
    <t>assume 20% of Contract Sum</t>
  </si>
  <si>
    <t>allow 15M for litigation costs</t>
  </si>
  <si>
    <t>can already be included in items 1 &amp; 2</t>
  </si>
  <si>
    <t>liquidated damages per day</t>
  </si>
  <si>
    <t>possible delay and poor quality worksmanship; allow 30% of Contract Sum</t>
  </si>
  <si>
    <t>assuming 30% of Contract Sum is the coverd amount for Performance Bond</t>
  </si>
  <si>
    <t>probable delay in the project; allow 100M</t>
  </si>
  <si>
    <t>allow 10M</t>
  </si>
  <si>
    <t>assume 60% of Contract Sum as VO's</t>
  </si>
  <si>
    <t>probable implication in the Design (VO); re-survey needed; cost included in item 1</t>
  </si>
  <si>
    <t>same as above</t>
  </si>
  <si>
    <t>???? Implication in the Design</t>
  </si>
  <si>
    <t>Additional cost for maintenance; assuming 100k/month for 25yrs</t>
  </si>
  <si>
    <t>assuming 30 day disruptions per year for 25 years</t>
  </si>
  <si>
    <t>allow 100M</t>
  </si>
  <si>
    <t>cost included in item 1</t>
  </si>
  <si>
    <t>cost for Long Lead Items</t>
  </si>
  <si>
    <t>allow 10% of Contract Sum</t>
  </si>
  <si>
    <t>probable cause of delay in the construction</t>
  </si>
  <si>
    <t>cost included in item 20</t>
  </si>
  <si>
    <t>Guarantee Bond @ 10% of Cuntract Sum</t>
  </si>
  <si>
    <t>Constructability</t>
  </si>
  <si>
    <t>incontructability of the proposed design</t>
  </si>
  <si>
    <t>During the Construction phase, inconstructability components will cause serious delay and might consequently lead to significant changes in design and incurre significant cost.</t>
  </si>
  <si>
    <t>WMP and the Client, together with the Owner's Engineer need to conduct a constructability workshops, in which all disciplines of designs need to be gatherred, all layouts and major cross sectional drawings need to be prerepared and review to identify if there is any components are clash with other --&gt; clash detection shall be done at this stage, ideally through 3D model or BIM.
Currently, there is not measurement from WMP on this, but in the design requirements, Employer Requirement has identified.</t>
  </si>
  <si>
    <t>Construction</t>
  </si>
  <si>
    <t>Major Safety Incident</t>
  </si>
  <si>
    <t>Not yet decided as it will be in the next phase</t>
  </si>
  <si>
    <t>Fatality</t>
  </si>
  <si>
    <t>Contractor to have QA/AC and safety officier onsite, all PPE have to be provided to workers</t>
  </si>
  <si>
    <t>Client safety and healthy protocol</t>
  </si>
  <si>
    <t>Accepted lower standards of materials quality that affect durability of the facility (e.g. membrance, pumps)</t>
  </si>
  <si>
    <t>The later performance of the facility will be lower, impact the acceptance from Vlient and delay the construction and installation</t>
  </si>
  <si>
    <t>Random and specific Material testings are required before allowing materials to be used</t>
  </si>
  <si>
    <t xml:space="preserve">ER to have a strick rule to be clear in the bidding documents and in the contract with the bidder. Also before the work, to annouce that any lower standard materials are not allowed </t>
  </si>
  <si>
    <t>Breach of licence conditions during construction - water quality, odour or noise issues</t>
  </si>
  <si>
    <t>Resulting in - Fines and compensation payments. Noise can be encounterred that affect the the resident</t>
  </si>
  <si>
    <t>There is a certain set of regulation and rule goverving this term, but we cannot 100% identify now</t>
  </si>
  <si>
    <t>Limit the working hours</t>
  </si>
  <si>
    <t xml:space="preserve">Constrainst in the workable area is insufficient for construction needs </t>
  </si>
  <si>
    <t>Resulting in - difficult working conditions, causing delay and increased costs</t>
  </si>
  <si>
    <t>Not Yet Defined</t>
  </si>
  <si>
    <t>ER to clear state in the contract the responsibility that can e incurred by the contractor. The contractor has to provide safety officier and following rules, pre-examining condition before executing the work</t>
  </si>
  <si>
    <t>Difficulties disposing of construction waste resulting in site contamination</t>
  </si>
  <si>
    <t>Regulation of waste management is in place</t>
  </si>
  <si>
    <t>Comply with the the safety and environtmental requirements of the local government. Client to provide contractor more specific requirements regarding the disposing of construction waste and materiasl</t>
  </si>
  <si>
    <t>Disconnect, gap, miscommunication, and unfriendly relationship between technical teams (designers), contractors</t>
  </si>
  <si>
    <t>Resulting in - Errors, non-optimal solutions and re-work</t>
  </si>
  <si>
    <t>Only general requirement in the bid docs but not specific for the project</t>
  </si>
  <si>
    <t>Request contractor to develop Job Execution Plan, weekly report, bi-weekly report, and monthly report. Social interfaction  might be necessary</t>
  </si>
  <si>
    <t>Excessive pipe failures due to poor quality practices. Existing ultilities (e.g. piple, pump) can be damaged to due to interfacing with construction and installation</t>
  </si>
  <si>
    <t>Resulting in - high repair costs and delays in commissioning. Resulting in - temporary shutting down of the equipment in particularly and plant operation</t>
  </si>
  <si>
    <t>Request WMP to conduct constructatbility workshop in design stage.</t>
  </si>
  <si>
    <t xml:space="preserve">Fire on construction site causes damage to materials, equipment and/or plant </t>
  </si>
  <si>
    <t>Resulting in - replacement and site recovery costs, possible fines. Costs to implement further preventative measures</t>
  </si>
  <si>
    <t>There is a regulation on fire protection</t>
  </si>
  <si>
    <t>Contractor to provide safety officier and also to examine the weathering condition, wind direction, source of fire (e.g. eletrictic line)</t>
  </si>
  <si>
    <t>Resulting in - errors, delays and re-work to rectify the problem. Possible loss of image to MW and Alliance.</t>
  </si>
  <si>
    <t>Lack of, or inadequate, planning and coordination with Client and Its representative in construction resulting in errors or poor working practices.</t>
  </si>
  <si>
    <t>ER has defined a set of Management Plans</t>
  </si>
  <si>
    <t>Late changes in requirements</t>
  </si>
  <si>
    <t>Resulting in - Failure to meet Desired Standards of Service, leading to expanded scope or work or re-work</t>
  </si>
  <si>
    <t>Change order system needs to be in placed to ensure proper records</t>
  </si>
  <si>
    <t>Latent conditions (soft ground / contamination)</t>
  </si>
  <si>
    <t>Resulting in - Master planning impeded. Changes to design/construction technique.</t>
  </si>
  <si>
    <t>Client to specify this risk due to its uncertainty so the contractor can be relaxed</t>
  </si>
  <si>
    <t>Major incident or accident during construction alerts media to wider issues</t>
  </si>
  <si>
    <t>Resulting in - worker or public safety hazard and loss of reputation</t>
  </si>
  <si>
    <t>Noise causes local community anger</t>
  </si>
  <si>
    <t>Resulting in - Public complaints and additional works to resolve the problem</t>
  </si>
  <si>
    <t>ER</t>
  </si>
  <si>
    <t xml:space="preserve">Poor quality work as pipe laying and plumbing contractors not adequately trained, accredited or properly subjected to pre-selection processes. </t>
  </si>
  <si>
    <t>Resulting in - Re-work to rectify faults. Loss of image for MW and its long term strategy</t>
  </si>
  <si>
    <t xml:space="preserve">Poor traffic management during construction disrupts schools or emergency services with increased potential for road traffic accidents </t>
  </si>
  <si>
    <t>Resulting in - adverse media publicity and/or death or serious injury</t>
  </si>
  <si>
    <t>Poor workmanship – rework – disagreement on acceptable quality</t>
  </si>
  <si>
    <t xml:space="preserve">Causing the delay </t>
  </si>
  <si>
    <t>Unforeseen  difficulties in access.</t>
  </si>
  <si>
    <t>Unforeseen need to upgrade roads for construction traffic</t>
  </si>
  <si>
    <t>Resulting in - New cost chain</t>
  </si>
  <si>
    <t>Long supply lead times for equipment result in trade-offs in equipment performance.</t>
  </si>
  <si>
    <t>Late arrival of long lead equiment</t>
  </si>
  <si>
    <t>Project delays and possible cost variation</t>
  </si>
  <si>
    <t>Procurement Strategy does not meet probity expectations of the contructor's members &amp; key stakeholders</t>
  </si>
  <si>
    <t xml:space="preserve">Change order in procurement </t>
  </si>
  <si>
    <t>Delay and cost increaset</t>
  </si>
  <si>
    <t>Shortage of materials, long delivery times, low quality of delivered materials, use of older cheaper technology</t>
  </si>
  <si>
    <t>No approval to use the low quality material (QA?AC)</t>
  </si>
  <si>
    <t>Resulting in - Less than optimal material usage. Loss of system performance, potential for leaks</t>
  </si>
  <si>
    <t>Supplier deals causes sub-optimal choices or friction between parties</t>
  </si>
  <si>
    <t>Late arrival/deliveray of equipment and facilities</t>
  </si>
  <si>
    <t>Supplier goes into receivership &amp; alternative delivery is not readily available</t>
  </si>
  <si>
    <t xml:space="preserve">Adverse publicity in the media results in increased demand for compensation. </t>
  </si>
  <si>
    <t>NA</t>
  </si>
  <si>
    <t>Resulting in - escalation in number of compensation claims and knock on costs from consumers</t>
  </si>
  <si>
    <t>Ineffective OH&amp;S management, potentially leading to worker health safety</t>
  </si>
  <si>
    <t>resulting in injuries, deaths, and properties damage</t>
  </si>
  <si>
    <t>Resulting in - Work stoppages while problems are rectified. Re-work and possible health effects and accidents</t>
  </si>
  <si>
    <t xml:space="preserve">Inefficient  team working within Project </t>
  </si>
  <si>
    <t>Low efficiency and potential conflics</t>
  </si>
  <si>
    <t>Resulting in - Poor communications, poor focus, miss-understandings. errors, delays and increased programme costs</t>
  </si>
  <si>
    <t>Resulting in - confusion, slow working, no clearly defined SOWs, increased costs and programme delays.
E.g. SOWs of the Lagoon 1, which was provisionally in the SOWs of LMTP1 project but now transferred to LMTP2 bid.</t>
  </si>
  <si>
    <t xml:space="preserve">Lack of resources for project delays work </t>
  </si>
  <si>
    <t xml:space="preserve">Resulting in - Increase cost and delays resulting from non-optimal methods of work. Increased levels of checking and potential for re-work. </t>
  </si>
  <si>
    <t xml:space="preserve">Loss of key personnel </t>
  </si>
  <si>
    <t>Resulting in - Difficulties completing specific tasks, non-optimal solutions, additional checking and re-work</t>
  </si>
  <si>
    <t>One party terminates or defaults</t>
  </si>
  <si>
    <t>Work stoppage/delay on project implementation</t>
  </si>
  <si>
    <t>Poor alignment between Employer and the Contractor resulting in lack of communication resulting in late changes and rework</t>
  </si>
  <si>
    <t>Resulting in - re-work to modify detailed design and business model.</t>
  </si>
  <si>
    <t>Poor or late knowledge transfer from program to Employer at hand over</t>
  </si>
  <si>
    <t xml:space="preserve">Resulting in - commissioning and hand over delay. e.g. Operation &amp; Maintenance manuals late. </t>
  </si>
  <si>
    <t>Poor performance of sub-contractors results in increased costs and/or delays</t>
  </si>
  <si>
    <t xml:space="preserve">Resulting in - Increased cost of checking and re-work, resulting in programme delays </t>
  </si>
  <si>
    <t>Poor procurement / delivery model results in increase programme costs and/or delays</t>
  </si>
  <si>
    <t>Resulting in - Delays and increased costs. Master plan objectives not delivered. Equipment Supplied does not meet performance agreed for purchase</t>
  </si>
  <si>
    <t>Poor Contractor team performance leads to missed programme milestones and/or sub-optimal solutions</t>
  </si>
  <si>
    <t>Resulting in - Delays in the programme, poor quality results and failure to fully meet Master Plan objectives.</t>
  </si>
  <si>
    <t>Project difficulties resulting from poor performance of Employer staff.</t>
  </si>
  <si>
    <t>Resulting in - slow working and approvals, delays in programme implementation</t>
  </si>
  <si>
    <t>Project programming difficulties because of hidden agendas</t>
  </si>
  <si>
    <t>Resulting in - Non-optimal solutions, failure to meet programme milestones or targets</t>
  </si>
  <si>
    <t>Permit Acquisition Issue (political)</t>
  </si>
  <si>
    <t>Delay in project implementation</t>
  </si>
  <si>
    <t>Resulting in - Poor team moral and performance increased costs slow working.</t>
  </si>
  <si>
    <t>Scope creep caused by unplanned activities. Improper scoping</t>
  </si>
  <si>
    <t>Resulting in - scope creep, additional costs and delays to the programme.</t>
  </si>
  <si>
    <t>Tight time frames compounds shortage of resources e.g. mobilising for key discussions or workshops</t>
  </si>
  <si>
    <t>Resulting in - sub-standard working, re-work and increased costs and delays</t>
  </si>
  <si>
    <t xml:space="preserve">Unauthorised personnel speak to media and provide incorrect messages causing confusion, adversely impacting project </t>
  </si>
  <si>
    <t>Resulting in - lack of 'buy-in' for project, failure to fully meet Master Plan objectives</t>
  </si>
  <si>
    <t>Unavailability/loss of key person delays project</t>
  </si>
  <si>
    <t xml:space="preserve">Resulting in - Delays while replacement found or extra levels of checking imposed. Disruption to information flow. Cost overruns </t>
  </si>
  <si>
    <t>Unsuccessful sub-contractor selection process resulting in delays and non-optimal ways of working</t>
  </si>
  <si>
    <t>Resulting in - increased construction costs and delays in commissioning</t>
  </si>
  <si>
    <t>Variability in exchange rates for overseas supplied items (pumps, pipes, valves etc)</t>
  </si>
  <si>
    <t>Resulting in increased procurement costs</t>
  </si>
  <si>
    <t>Issue on site accessibility due to public complaints.</t>
  </si>
  <si>
    <t>Traffic congestion brought by the on-going construction of MRT project along Commonwealth Road</t>
  </si>
  <si>
    <t>Delay on delivery of materilas and equipment and daily deployment of Contractor's personnel. 
Note: No contractor's barracks is allowed inside the LMTP facilities.</t>
  </si>
  <si>
    <t>Ability to find adequate and liveable space for warehouse, fabrication (on-site) and barracks (offsite) for their workers</t>
  </si>
  <si>
    <t>Delay on commencement of work.</t>
  </si>
  <si>
    <t>Unavailability of dedicated key personnel for the project</t>
  </si>
  <si>
    <t>Serious conflict and misunderstanding and eventually result in delay and major conflict</t>
  </si>
  <si>
    <t>Port congestion issue</t>
  </si>
  <si>
    <t>Delay on delivery of materilas and equipment.</t>
  </si>
  <si>
    <t xml:space="preserve">Lack of coordination with other Client projects and/or with other Packages </t>
  </si>
  <si>
    <t>Scope of works not clearly defined for interrelated works with other projects of Client</t>
  </si>
  <si>
    <t>Resistance to change in Client</t>
  </si>
  <si>
    <t>Environment</t>
  </si>
  <si>
    <t xml:space="preserve">Natural disaster necessitates temporary shut-down of site </t>
  </si>
  <si>
    <t xml:space="preserve">Signficant typhoon event </t>
  </si>
  <si>
    <t xml:space="preserve"> Natural disaster necessitates temporary shut-down of site </t>
  </si>
  <si>
    <t>Significant earthquake event</t>
  </si>
  <si>
    <t>Contaminants from construction site run-off resulting in environmental pollution and/or water quality issue.</t>
  </si>
  <si>
    <t>Resulting in - Pollution clean up costs, fines. Additional site management costs for control of hazardous material and site audits. New work chain to rectify the problem</t>
  </si>
  <si>
    <t>DENR, others impose unforeseen regulations or conditions</t>
  </si>
  <si>
    <t>Resulting in - Changes in water balance and/ or business model to achieve viable solutions.</t>
  </si>
  <si>
    <t>Excessive loss of soil or damage to soil quality during construction</t>
  </si>
  <si>
    <t>Resulting in - new work chain to re-instate soils</t>
  </si>
  <si>
    <t>Flood off site causes damage/delay on delivery of equipment</t>
  </si>
  <si>
    <t>Resulting in - loss and damage to site materials and equipment.</t>
  </si>
  <si>
    <t>Heavy rainfall</t>
  </si>
  <si>
    <t>Resulting in - Changes in the business model required</t>
  </si>
  <si>
    <t xml:space="preserve">Major natural disaster causes significant disruption and repairs during construction or impacts treatment process </t>
  </si>
  <si>
    <t>Resulting in - major re-work and delays</t>
  </si>
  <si>
    <t>Major wet weather event causes delay in the implementation of the project</t>
  </si>
  <si>
    <t>Significant delay and cost increase</t>
  </si>
  <si>
    <t>Pipe routes disturbing high biodiversity flora and fauna areas</t>
  </si>
  <si>
    <t xml:space="preserve">Environmental issue </t>
  </si>
  <si>
    <t>Resulting in - New work chain to quantify impacts and seek solutions.</t>
  </si>
  <si>
    <t>Delay in possible requirement of acquisition of tree-cutting permit</t>
  </si>
  <si>
    <t>Delay in the schedule of work package item that having to do with tree cutting (e.g. new sludge piping line)</t>
  </si>
  <si>
    <t>Unidentified existing underground utilities</t>
  </si>
  <si>
    <t>Negative impact on earthwork and alighment of design/construction. Client might need to pay compensation</t>
  </si>
  <si>
    <t>Resulting in - higher than expected disposal costs, additional site clean up costs. Constructor to pay Client safety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</si>
</sst>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_(* #,##0.00_);_(* \(#,##0.00\);_(* &quot;-&quot;??_);_(@_)"/>
  </numFmts>
  <fonts count="25" x14ac:knownFonts="1">
    <font>
      <sz val="11"/>
      <color theme="1"/>
      <name val="Calibri"/>
      <family val="2"/>
      <scheme val="minor"/>
    </font>
    <font>
      <b/>
      <sz val="11"/>
      <color theme="1"/>
      <name val="Calibri"/>
      <family val="2"/>
      <scheme val="minor"/>
    </font>
    <font>
      <sz val="10"/>
      <name val="Arial"/>
      <family val="2"/>
    </font>
    <font>
      <sz val="12"/>
      <name val="Arial"/>
      <family val="2"/>
    </font>
    <font>
      <b/>
      <u/>
      <sz val="11"/>
      <color theme="1"/>
      <name val="Calibri"/>
      <family val="2"/>
      <scheme val="minor"/>
    </font>
    <font>
      <sz val="11"/>
      <color theme="0"/>
      <name val="Calibri"/>
      <family val="2"/>
      <scheme val="minor"/>
    </font>
    <font>
      <sz val="11"/>
      <color rgb="FFC0C0C0"/>
      <name val="Calibri"/>
      <family val="2"/>
      <scheme val="minor"/>
    </font>
    <font>
      <sz val="11"/>
      <color rgb="FFFFFF00"/>
      <name val="Calibri"/>
      <family val="2"/>
      <scheme val="minor"/>
    </font>
    <font>
      <sz val="16"/>
      <name val="Arial"/>
      <family val="2"/>
    </font>
    <font>
      <b/>
      <sz val="16"/>
      <color theme="1"/>
      <name val="Arial"/>
      <family val="2"/>
    </font>
    <font>
      <sz val="16"/>
      <color theme="1"/>
      <name val="Arial"/>
      <family val="2"/>
    </font>
    <font>
      <sz val="16"/>
      <color theme="1"/>
      <name val="Calibri"/>
      <family val="2"/>
      <scheme val="minor"/>
    </font>
    <font>
      <b/>
      <i/>
      <sz val="11"/>
      <color theme="1"/>
      <name val="Calibri"/>
      <family val="2"/>
      <scheme val="minor"/>
    </font>
    <font>
      <sz val="18"/>
      <color theme="1"/>
      <name val="Calibri"/>
      <family val="2"/>
      <scheme val="minor"/>
    </font>
    <font>
      <b/>
      <i/>
      <sz val="18"/>
      <color theme="1"/>
      <name val="Calibri"/>
      <family val="2"/>
      <scheme val="minor"/>
    </font>
    <font>
      <u/>
      <sz val="11"/>
      <color theme="10"/>
      <name val="Calibri"/>
      <family val="2"/>
      <scheme val="minor"/>
    </font>
    <font>
      <u/>
      <sz val="14"/>
      <color theme="10"/>
      <name val="Calibri"/>
      <family val="2"/>
      <scheme val="minor"/>
    </font>
    <font>
      <b/>
      <sz val="26"/>
      <color theme="1"/>
      <name val="Calibri"/>
      <family val="2"/>
      <scheme val="minor"/>
    </font>
    <font>
      <sz val="26"/>
      <color theme="1"/>
      <name val="Calibri"/>
      <family val="2"/>
      <scheme val="minor"/>
    </font>
    <font>
      <sz val="26"/>
      <color rgb="FF000000"/>
      <name val="Calibri"/>
      <family val="2"/>
    </font>
    <font>
      <sz val="18"/>
      <name val="Calibri"/>
      <family val="2"/>
      <scheme val="minor"/>
    </font>
    <font>
      <b/>
      <sz val="16"/>
      <name val="Arial"/>
      <family val="2"/>
    </font>
    <font>
      <sz val="16"/>
      <name val="Calibri"/>
      <family val="2"/>
      <scheme val="minor"/>
    </font>
    <font>
      <sz val="11"/>
      <color theme="1"/>
      <name val="Calibri"/>
      <family val="2"/>
      <scheme val="minor"/>
    </font>
    <font>
      <sz val="16"/>
      <color rgb="FFFF0000"/>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indexed="26"/>
        <bgColor indexed="64"/>
      </patternFill>
    </fill>
    <fill>
      <patternFill patternType="solid">
        <fgColor theme="6" tint="0.59999389629810485"/>
        <bgColor indexed="64"/>
      </patternFill>
    </fill>
    <fill>
      <patternFill patternType="solid">
        <fgColor rgb="FF92D050"/>
        <bgColor indexed="64"/>
      </patternFill>
    </fill>
    <fill>
      <patternFill patternType="solid">
        <fgColor indexed="50"/>
        <bgColor indexed="64"/>
      </patternFill>
    </fill>
    <fill>
      <patternFill patternType="solid">
        <fgColor indexed="22"/>
        <bgColor indexed="64"/>
      </patternFill>
    </fill>
    <fill>
      <patternFill patternType="solid">
        <fgColor theme="0"/>
        <bgColor indexed="64"/>
      </patternFill>
    </fill>
    <fill>
      <patternFill patternType="solid">
        <fgColor indexed="10"/>
        <bgColor indexed="64"/>
      </patternFill>
    </fill>
    <fill>
      <patternFill patternType="solid">
        <fgColor rgb="FFFF0000"/>
        <bgColor indexed="64"/>
      </patternFill>
    </fill>
    <fill>
      <patternFill patternType="solid">
        <fgColor rgb="FFFFFF00"/>
        <bgColor indexed="64"/>
      </patternFill>
    </fill>
    <fill>
      <patternFill patternType="solid">
        <fgColor theme="2" tint="-0.249977111117893"/>
        <bgColor indexed="64"/>
      </patternFill>
    </fill>
    <fill>
      <patternFill patternType="solid">
        <fgColor rgb="FFFFC000"/>
        <bgColor indexed="64"/>
      </patternFill>
    </fill>
    <fill>
      <patternFill patternType="solid">
        <fgColor indexed="51"/>
        <bgColor indexed="64"/>
      </patternFill>
    </fill>
  </fills>
  <borders count="19">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medium">
        <color indexed="64"/>
      </left>
      <right/>
      <top/>
      <bottom style="hair">
        <color indexed="64"/>
      </bottom>
      <diagonal/>
    </border>
    <border>
      <left style="thin">
        <color auto="1"/>
      </left>
      <right style="hair">
        <color auto="1"/>
      </right>
      <top style="thin">
        <color auto="1"/>
      </top>
      <bottom style="hair">
        <color auto="1"/>
      </bottom>
      <diagonal/>
    </border>
  </borders>
  <cellStyleXfs count="5">
    <xf numFmtId="0" fontId="0" fillId="0" borderId="0"/>
    <xf numFmtId="0" fontId="2" fillId="0" borderId="0"/>
    <xf numFmtId="0" fontId="2" fillId="0" borderId="0"/>
    <xf numFmtId="0" fontId="15" fillId="0" borderId="0" applyNumberFormat="0" applyFill="0" applyBorder="0" applyAlignment="0" applyProtection="0"/>
    <xf numFmtId="43" fontId="23" fillId="0" borderId="0" applyFont="0" applyFill="0" applyBorder="0" applyAlignment="0" applyProtection="0"/>
  </cellStyleXfs>
  <cellXfs count="135">
    <xf numFmtId="0" fontId="0" fillId="0" borderId="0" xfId="0"/>
    <xf numFmtId="0" fontId="8" fillId="0" borderId="1" xfId="2" applyFont="1" applyBorder="1" applyAlignment="1" applyProtection="1">
      <alignment horizontal="left" vertical="center" wrapText="1"/>
      <protection locked="0"/>
    </xf>
    <xf numFmtId="0" fontId="11" fillId="0" borderId="0" xfId="0" applyFont="1" applyAlignment="1" applyProtection="1">
      <alignment horizontal="left" vertical="center"/>
      <protection locked="0"/>
    </xf>
    <xf numFmtId="0" fontId="11" fillId="0" borderId="0" xfId="0" applyFont="1" applyAlignment="1" applyProtection="1">
      <alignment horizontal="left" vertical="center" wrapText="1"/>
      <protection locked="0"/>
    </xf>
    <xf numFmtId="0" fontId="9" fillId="4" borderId="3" xfId="0" applyFont="1" applyFill="1" applyBorder="1" applyAlignment="1" applyProtection="1">
      <alignment horizontal="left" vertical="center"/>
      <protection locked="0"/>
    </xf>
    <xf numFmtId="0" fontId="9" fillId="4" borderId="3" xfId="0" applyFont="1" applyFill="1" applyBorder="1" applyAlignment="1" applyProtection="1">
      <alignment horizontal="left" vertical="center" wrapText="1"/>
      <protection locked="0"/>
    </xf>
    <xf numFmtId="0" fontId="10" fillId="0" borderId="0" xfId="0" applyFont="1" applyAlignment="1" applyProtection="1">
      <alignment horizontal="left" vertical="center"/>
      <protection locked="0"/>
    </xf>
    <xf numFmtId="0" fontId="9" fillId="4" borderId="5" xfId="0" applyFont="1" applyFill="1" applyBorder="1" applyAlignment="1" applyProtection="1">
      <alignment horizontal="left" vertical="center"/>
      <protection locked="0"/>
    </xf>
    <xf numFmtId="0" fontId="9" fillId="4" borderId="5" xfId="0" applyFont="1" applyFill="1" applyBorder="1" applyAlignment="1" applyProtection="1">
      <alignment horizontal="left" vertical="center" wrapText="1"/>
      <protection locked="0"/>
    </xf>
    <xf numFmtId="0" fontId="8" fillId="0" borderId="1" xfId="2" applyFont="1" applyBorder="1" applyAlignment="1" applyProtection="1">
      <alignment horizontal="left" vertical="center"/>
      <protection locked="0"/>
    </xf>
    <xf numFmtId="49" fontId="8" fillId="10" borderId="1" xfId="2" applyNumberFormat="1" applyFont="1" applyFill="1" applyBorder="1" applyAlignment="1" applyProtection="1">
      <alignment horizontal="left" vertical="center"/>
      <protection locked="0"/>
    </xf>
    <xf numFmtId="0" fontId="8" fillId="10" borderId="1" xfId="2" applyFont="1" applyFill="1" applyBorder="1" applyAlignment="1" applyProtection="1">
      <alignment horizontal="left" vertical="center"/>
      <protection locked="0"/>
    </xf>
    <xf numFmtId="17" fontId="8" fillId="10" borderId="1" xfId="2" applyNumberFormat="1" applyFont="1" applyFill="1" applyBorder="1" applyAlignment="1" applyProtection="1">
      <alignment horizontal="left" vertical="center"/>
      <protection locked="0"/>
    </xf>
    <xf numFmtId="0" fontId="8" fillId="10" borderId="1" xfId="2" applyFont="1" applyFill="1" applyBorder="1" applyAlignment="1" applyProtection="1">
      <alignment horizontal="left" vertical="center" wrapText="1"/>
      <protection locked="0"/>
    </xf>
    <xf numFmtId="14" fontId="8" fillId="10" borderId="1" xfId="2" applyNumberFormat="1" applyFont="1" applyFill="1" applyBorder="1" applyAlignment="1" applyProtection="1">
      <alignment horizontal="left" vertical="center"/>
      <protection locked="0"/>
    </xf>
    <xf numFmtId="49" fontId="8" fillId="10" borderId="1" xfId="2" applyNumberFormat="1" applyFont="1" applyFill="1" applyBorder="1" applyAlignment="1" applyProtection="1">
      <alignment horizontal="left" vertical="center" wrapText="1"/>
      <protection locked="0"/>
    </xf>
    <xf numFmtId="0" fontId="12" fillId="0" borderId="0" xfId="0" applyFont="1" applyAlignment="1">
      <alignment horizontal="left" vertic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1" fontId="0" fillId="0" borderId="0" xfId="0" applyNumberFormat="1" applyAlignment="1" applyProtection="1">
      <alignment vertical="center"/>
      <protection locked="0"/>
    </xf>
    <xf numFmtId="0" fontId="0" fillId="6" borderId="3" xfId="0" applyFill="1" applyBorder="1" applyAlignment="1" applyProtection="1">
      <alignment horizontal="center" vertical="center"/>
      <protection locked="0"/>
    </xf>
    <xf numFmtId="0" fontId="0" fillId="6" borderId="3" xfId="0" applyFill="1" applyBorder="1" applyAlignment="1" applyProtection="1">
      <alignment vertical="center"/>
      <protection locked="0"/>
    </xf>
    <xf numFmtId="0" fontId="0" fillId="6" borderId="3" xfId="0" applyFill="1" applyBorder="1" applyAlignment="1" applyProtection="1">
      <alignment vertical="center" wrapText="1"/>
      <protection locked="0"/>
    </xf>
    <xf numFmtId="0" fontId="0" fillId="6" borderId="1" xfId="0" applyFill="1" applyBorder="1" applyAlignment="1" applyProtection="1">
      <alignment horizontal="centerContinuous" vertical="center"/>
      <protection locked="0"/>
    </xf>
    <xf numFmtId="1" fontId="0" fillId="6" borderId="1" xfId="0" applyNumberFormat="1" applyFill="1" applyBorder="1" applyAlignment="1" applyProtection="1">
      <alignment horizontal="centerContinuous" vertical="center"/>
      <protection locked="0"/>
    </xf>
    <xf numFmtId="0" fontId="0" fillId="6" borderId="3" xfId="0" applyFill="1" applyBorder="1" applyAlignment="1" applyProtection="1">
      <alignment horizontal="center" vertical="center" wrapText="1"/>
      <protection locked="0"/>
    </xf>
    <xf numFmtId="0" fontId="0" fillId="6" borderId="5" xfId="0" applyFill="1" applyBorder="1" applyAlignment="1" applyProtection="1">
      <alignment horizontal="center" vertical="center"/>
      <protection locked="0"/>
    </xf>
    <xf numFmtId="0" fontId="0" fillId="6" borderId="5" xfId="0" applyFill="1" applyBorder="1" applyAlignment="1" applyProtection="1">
      <alignment vertical="center"/>
      <protection locked="0"/>
    </xf>
    <xf numFmtId="0" fontId="0" fillId="6" borderId="5" xfId="0" applyFill="1" applyBorder="1" applyAlignment="1" applyProtection="1">
      <alignment vertical="center" wrapText="1"/>
      <protection locked="0"/>
    </xf>
    <xf numFmtId="0" fontId="0" fillId="6" borderId="1" xfId="0" applyFill="1" applyBorder="1" applyAlignment="1" applyProtection="1">
      <alignment horizontal="center" vertical="center"/>
      <protection locked="0"/>
    </xf>
    <xf numFmtId="1" fontId="0" fillId="6" borderId="1" xfId="0" applyNumberFormat="1" applyFill="1" applyBorder="1" applyAlignment="1" applyProtection="1">
      <alignment vertical="center"/>
      <protection locked="0"/>
    </xf>
    <xf numFmtId="0" fontId="0" fillId="6" borderId="5" xfId="0" applyFill="1" applyBorder="1" applyAlignment="1" applyProtection="1">
      <alignment horizontal="center" vertical="center" wrapText="1"/>
      <protection locked="0"/>
    </xf>
    <xf numFmtId="0" fontId="0" fillId="0" borderId="8" xfId="0" applyBorder="1" applyAlignment="1" applyProtection="1">
      <alignment horizontal="center" vertical="center"/>
      <protection locked="0"/>
    </xf>
    <xf numFmtId="0" fontId="0" fillId="0" borderId="8" xfId="0" applyBorder="1" applyAlignment="1" applyProtection="1">
      <alignment horizontal="left" vertical="center"/>
      <protection locked="0"/>
    </xf>
    <xf numFmtId="0" fontId="0" fillId="0" borderId="8" xfId="0" applyBorder="1" applyAlignment="1" applyProtection="1">
      <alignment horizontal="left" vertical="center" wrapText="1"/>
      <protection locked="0"/>
    </xf>
    <xf numFmtId="0" fontId="7" fillId="11" borderId="8" xfId="0" applyFont="1" applyFill="1" applyBorder="1" applyAlignment="1" applyProtection="1">
      <alignment horizontal="center" vertical="center"/>
      <protection locked="0"/>
    </xf>
    <xf numFmtId="1" fontId="2" fillId="0" borderId="17" xfId="2" applyNumberFormat="1" applyBorder="1" applyAlignment="1" applyProtection="1">
      <alignment horizontal="center" vertical="center"/>
      <protection locked="0"/>
    </xf>
    <xf numFmtId="0" fontId="6" fillId="9" borderId="18" xfId="0" applyFont="1" applyFill="1" applyBorder="1" applyAlignment="1" applyProtection="1">
      <alignment horizontal="center" vertical="center"/>
      <protection locked="0"/>
    </xf>
    <xf numFmtId="0" fontId="6" fillId="9" borderId="9" xfId="0" applyFont="1" applyFill="1" applyBorder="1" applyAlignment="1" applyProtection="1">
      <alignment horizontal="center" vertical="center"/>
      <protection locked="0"/>
    </xf>
    <xf numFmtId="49" fontId="0" fillId="0" borderId="7" xfId="0" applyNumberFormat="1" applyBorder="1" applyAlignment="1" applyProtection="1">
      <alignment horizontal="center" vertical="center" wrapText="1"/>
      <protection locked="0"/>
    </xf>
    <xf numFmtId="0" fontId="0" fillId="0" borderId="1" xfId="0" applyBorder="1" applyAlignment="1" applyProtection="1">
      <alignment vertical="center"/>
      <protection locked="0"/>
    </xf>
    <xf numFmtId="0" fontId="6" fillId="9" borderId="15" xfId="0" applyFont="1" applyFill="1" applyBorder="1" applyAlignment="1" applyProtection="1">
      <alignment horizontal="center" vertical="center"/>
      <protection locked="0"/>
    </xf>
    <xf numFmtId="0" fontId="6" fillId="9" borderId="11" xfId="0" applyFont="1" applyFill="1" applyBorder="1" applyAlignment="1" applyProtection="1">
      <alignment horizontal="center" vertical="center"/>
      <protection locked="0"/>
    </xf>
    <xf numFmtId="0" fontId="6" fillId="9" borderId="12" xfId="0" applyFont="1" applyFill="1" applyBorder="1" applyAlignment="1" applyProtection="1">
      <alignment horizontal="center" vertical="center"/>
      <protection locked="0"/>
    </xf>
    <xf numFmtId="0" fontId="6" fillId="9" borderId="15" xfId="0" applyFont="1" applyFill="1" applyBorder="1" applyAlignment="1" applyProtection="1">
      <alignment vertical="center"/>
      <protection locked="0"/>
    </xf>
    <xf numFmtId="0" fontId="6" fillId="9" borderId="11" xfId="0" applyFont="1" applyFill="1" applyBorder="1" applyAlignment="1" applyProtection="1">
      <alignment vertical="center"/>
      <protection locked="0"/>
    </xf>
    <xf numFmtId="0" fontId="6" fillId="9" borderId="16" xfId="0" applyFont="1" applyFill="1" applyBorder="1" applyAlignment="1" applyProtection="1">
      <alignment vertical="center"/>
      <protection locked="0"/>
    </xf>
    <xf numFmtId="0" fontId="6" fillId="9" borderId="13" xfId="0" applyFont="1" applyFill="1" applyBorder="1" applyAlignment="1" applyProtection="1">
      <alignment vertical="center"/>
      <protection locked="0"/>
    </xf>
    <xf numFmtId="0" fontId="1" fillId="0" borderId="0" xfId="0" applyFont="1" applyAlignment="1">
      <alignment vertical="center"/>
    </xf>
    <xf numFmtId="0" fontId="0" fillId="0" borderId="0" xfId="0" applyAlignment="1">
      <alignment vertical="center"/>
    </xf>
    <xf numFmtId="0" fontId="0" fillId="0" borderId="0" xfId="0" applyAlignment="1">
      <alignment vertical="center" wrapText="1"/>
    </xf>
    <xf numFmtId="1" fontId="0" fillId="0" borderId="0" xfId="0" applyNumberFormat="1" applyAlignment="1">
      <alignment vertical="center"/>
    </xf>
    <xf numFmtId="0" fontId="13" fillId="0" borderId="0" xfId="0" applyFont="1" applyAlignment="1">
      <alignment horizontal="left" vertical="center"/>
    </xf>
    <xf numFmtId="0" fontId="13" fillId="0" borderId="0" xfId="0" applyFont="1" applyAlignment="1">
      <alignment horizontal="left" vertical="center" wrapText="1"/>
    </xf>
    <xf numFmtId="0" fontId="13" fillId="0" borderId="0" xfId="0" applyFont="1" applyAlignment="1" applyProtection="1">
      <alignment horizontal="left" vertical="center"/>
      <protection locked="0"/>
    </xf>
    <xf numFmtId="0" fontId="13" fillId="0" borderId="0" xfId="0" applyFont="1" applyAlignment="1" applyProtection="1">
      <alignment horizontal="left" vertical="center" wrapText="1"/>
      <protection locked="0"/>
    </xf>
    <xf numFmtId="0" fontId="14" fillId="0" borderId="0" xfId="0" applyFont="1" applyAlignment="1">
      <alignment horizontal="left" vertical="center"/>
    </xf>
    <xf numFmtId="0" fontId="15" fillId="0" borderId="0" xfId="3" applyAlignment="1" applyProtection="1">
      <alignment horizontal="center" vertical="center" wrapText="1"/>
    </xf>
    <xf numFmtId="0" fontId="16" fillId="0" borderId="0" xfId="3" applyFont="1" applyAlignment="1" applyProtection="1">
      <alignment horizontal="center" vertical="center" wrapText="1"/>
    </xf>
    <xf numFmtId="0" fontId="12" fillId="0" borderId="0" xfId="0" applyFont="1" applyAlignment="1" applyProtection="1">
      <alignment horizontal="left" vertical="center"/>
      <protection locked="0"/>
    </xf>
    <xf numFmtId="0" fontId="0" fillId="0" borderId="0" xfId="0" applyProtection="1">
      <protection locked="0"/>
    </xf>
    <xf numFmtId="0" fontId="1" fillId="2" borderId="0" xfId="0" applyFont="1" applyFill="1" applyAlignment="1" applyProtection="1">
      <alignment vertical="center"/>
      <protection locked="0"/>
    </xf>
    <xf numFmtId="0" fontId="0" fillId="2" borderId="0" xfId="0" applyFill="1" applyAlignment="1" applyProtection="1">
      <alignment vertical="center"/>
      <protection locked="0"/>
    </xf>
    <xf numFmtId="0" fontId="0" fillId="5" borderId="0" xfId="0" applyFill="1" applyProtection="1">
      <protection locked="0"/>
    </xf>
    <xf numFmtId="0" fontId="1" fillId="4" borderId="3" xfId="0" applyFont="1" applyFill="1" applyBorder="1" applyAlignment="1" applyProtection="1">
      <alignment horizontal="center" vertical="center"/>
      <protection locked="0"/>
    </xf>
    <xf numFmtId="0" fontId="0" fillId="4" borderId="3" xfId="0" applyFill="1" applyBorder="1" applyAlignment="1" applyProtection="1">
      <alignment vertical="center"/>
      <protection locked="0"/>
    </xf>
    <xf numFmtId="0" fontId="0" fillId="4" borderId="3" xfId="0" applyFill="1" applyBorder="1" applyAlignment="1" applyProtection="1">
      <alignment horizontal="centerContinuous" vertical="center"/>
      <protection locked="0"/>
    </xf>
    <xf numFmtId="0" fontId="0" fillId="4" borderId="4" xfId="0" applyFill="1" applyBorder="1" applyAlignment="1" applyProtection="1">
      <alignment vertical="center"/>
      <protection locked="0"/>
    </xf>
    <xf numFmtId="0" fontId="0" fillId="4" borderId="4" xfId="0" applyFill="1" applyBorder="1" applyAlignment="1" applyProtection="1">
      <alignment horizontal="center" vertical="center"/>
      <protection locked="0"/>
    </xf>
    <xf numFmtId="0" fontId="0" fillId="4" borderId="3" xfId="0" applyFill="1" applyBorder="1" applyAlignment="1" applyProtection="1">
      <alignment horizontal="center" vertical="center"/>
      <protection locked="0"/>
    </xf>
    <xf numFmtId="0" fontId="1" fillId="4" borderId="5" xfId="0" applyFont="1" applyFill="1" applyBorder="1" applyAlignment="1" applyProtection="1">
      <alignment vertical="center"/>
      <protection locked="0"/>
    </xf>
    <xf numFmtId="0" fontId="0" fillId="4" borderId="5" xfId="0"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5" fillId="12" borderId="4" xfId="0" applyFont="1" applyFill="1" applyBorder="1" applyAlignment="1" applyProtection="1">
      <alignment horizontal="center" vertical="center"/>
      <protection locked="0"/>
    </xf>
    <xf numFmtId="0" fontId="0" fillId="7" borderId="4" xfId="0" applyFill="1" applyBorder="1" applyAlignment="1" applyProtection="1">
      <alignment horizontal="center" vertical="center"/>
      <protection locked="0"/>
    </xf>
    <xf numFmtId="0" fontId="0" fillId="4" borderId="5" xfId="0" applyFill="1" applyBorder="1" applyAlignment="1" applyProtection="1">
      <alignment vertical="center"/>
      <protection locked="0"/>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wrapText="1"/>
      <protection locked="0"/>
    </xf>
    <xf numFmtId="0" fontId="1" fillId="2" borderId="1" xfId="0" applyFont="1" applyFill="1" applyBorder="1" applyAlignment="1" applyProtection="1">
      <alignment vertical="center"/>
      <protection locked="0"/>
    </xf>
    <xf numFmtId="0" fontId="3" fillId="3" borderId="1" xfId="2" applyFont="1" applyFill="1" applyBorder="1" applyAlignment="1" applyProtection="1">
      <alignment horizontal="center" vertical="center"/>
      <protection locked="0"/>
    </xf>
    <xf numFmtId="0" fontId="3" fillId="3" borderId="1" xfId="2" applyFont="1" applyFill="1" applyBorder="1" applyAlignment="1" applyProtection="1">
      <alignment horizontal="left" vertical="center"/>
      <protection locked="0"/>
    </xf>
    <xf numFmtId="0" fontId="3" fillId="3" borderId="1" xfId="2" applyFont="1" applyFill="1" applyBorder="1" applyAlignment="1" applyProtection="1">
      <alignment horizontal="center"/>
      <protection locked="0"/>
    </xf>
    <xf numFmtId="0" fontId="1" fillId="0" borderId="1" xfId="0" applyFont="1" applyBorder="1" applyAlignment="1" applyProtection="1">
      <alignment horizontal="center"/>
      <protection locked="0"/>
    </xf>
    <xf numFmtId="0" fontId="0" fillId="0" borderId="1" xfId="0" applyBorder="1" applyAlignment="1" applyProtection="1">
      <alignment horizontal="center"/>
      <protection locked="0"/>
    </xf>
    <xf numFmtId="0" fontId="1" fillId="0" borderId="1" xfId="0" applyFont="1" applyBorder="1" applyProtection="1">
      <protection locked="0"/>
    </xf>
    <xf numFmtId="0" fontId="0" fillId="0" borderId="1" xfId="0" applyBorder="1" applyProtection="1">
      <protection locked="0"/>
    </xf>
    <xf numFmtId="0" fontId="17" fillId="0" borderId="0" xfId="0" applyFont="1" applyAlignment="1">
      <alignment horizontal="left" vertical="center"/>
    </xf>
    <xf numFmtId="0" fontId="18" fillId="0" borderId="0" xfId="0" applyFont="1" applyAlignment="1">
      <alignment horizontal="left" vertical="center"/>
    </xf>
    <xf numFmtId="0" fontId="18" fillId="0" borderId="0" xfId="0" applyFont="1" applyAlignment="1">
      <alignment horizontal="left" vertical="center" wrapText="1"/>
    </xf>
    <xf numFmtId="0" fontId="17" fillId="0" borderId="0" xfId="0" applyFont="1" applyAlignment="1" applyProtection="1">
      <alignment horizontal="left" vertical="center"/>
      <protection locked="0"/>
    </xf>
    <xf numFmtId="0" fontId="18" fillId="0" borderId="0" xfId="0" applyFont="1" applyAlignment="1" applyProtection="1">
      <alignment horizontal="left" vertical="center"/>
      <protection locked="0"/>
    </xf>
    <xf numFmtId="14" fontId="18" fillId="0" borderId="0" xfId="0" applyNumberFormat="1" applyFont="1" applyAlignment="1" applyProtection="1">
      <alignment horizontal="left" vertical="center" wrapText="1"/>
      <protection locked="0"/>
    </xf>
    <xf numFmtId="0" fontId="3" fillId="0" borderId="1" xfId="2" applyFont="1" applyBorder="1" applyAlignment="1" applyProtection="1">
      <alignment horizontal="center"/>
      <protection locked="0"/>
    </xf>
    <xf numFmtId="0" fontId="3" fillId="0" borderId="1" xfId="2" applyFont="1" applyBorder="1" applyAlignment="1" applyProtection="1">
      <alignment horizontal="left" vertical="center"/>
      <protection locked="0"/>
    </xf>
    <xf numFmtId="0" fontId="3" fillId="13" borderId="1" xfId="2" applyFont="1" applyFill="1" applyBorder="1" applyAlignment="1" applyProtection="1">
      <alignment horizontal="center"/>
      <protection locked="0"/>
    </xf>
    <xf numFmtId="0" fontId="6" fillId="9" borderId="10" xfId="0" applyFont="1" applyFill="1" applyBorder="1" applyAlignment="1" applyProtection="1">
      <alignment horizontal="center" vertical="center"/>
      <protection locked="0"/>
    </xf>
    <xf numFmtId="0" fontId="9" fillId="14" borderId="1" xfId="0" applyFont="1" applyFill="1" applyBorder="1" applyAlignment="1" applyProtection="1">
      <alignment horizontal="centerContinuous" vertical="center"/>
      <protection locked="0"/>
    </xf>
    <xf numFmtId="0" fontId="9" fillId="14" borderId="1" xfId="0" applyFont="1" applyFill="1" applyBorder="1" applyAlignment="1" applyProtection="1">
      <alignment horizontal="left" vertical="center"/>
      <protection locked="0"/>
    </xf>
    <xf numFmtId="4" fontId="11" fillId="3" borderId="1" xfId="0" applyNumberFormat="1" applyFont="1" applyFill="1" applyBorder="1" applyAlignment="1" applyProtection="1">
      <alignment horizontal="left" vertical="center"/>
      <protection locked="0"/>
    </xf>
    <xf numFmtId="3" fontId="11" fillId="3" borderId="1" xfId="0" applyNumberFormat="1" applyFont="1" applyFill="1" applyBorder="1" applyAlignment="1" applyProtection="1">
      <alignment horizontal="left" vertical="center"/>
      <protection locked="0"/>
    </xf>
    <xf numFmtId="3" fontId="11" fillId="0" borderId="0" xfId="0" applyNumberFormat="1" applyFont="1" applyAlignment="1" applyProtection="1">
      <alignment horizontal="left" vertical="center"/>
      <protection locked="0"/>
    </xf>
    <xf numFmtId="0" fontId="8" fillId="10" borderId="1" xfId="2" quotePrefix="1" applyFont="1" applyFill="1" applyBorder="1" applyAlignment="1" applyProtection="1">
      <alignment horizontal="left" vertical="center" wrapText="1"/>
      <protection locked="0"/>
    </xf>
    <xf numFmtId="0" fontId="8" fillId="0" borderId="1" xfId="2" quotePrefix="1" applyFont="1" applyBorder="1" applyAlignment="1" applyProtection="1">
      <alignment horizontal="left" vertical="center" wrapText="1"/>
      <protection locked="0"/>
    </xf>
    <xf numFmtId="0" fontId="8" fillId="10" borderId="1" xfId="2" quotePrefix="1" applyFont="1" applyFill="1" applyBorder="1" applyAlignment="1" applyProtection="1">
      <alignment horizontal="left" vertical="top" wrapText="1"/>
      <protection locked="0"/>
    </xf>
    <xf numFmtId="0" fontId="0" fillId="15" borderId="4" xfId="0" applyFill="1" applyBorder="1" applyAlignment="1" applyProtection="1">
      <alignment horizontal="center" vertical="center"/>
      <protection locked="0"/>
    </xf>
    <xf numFmtId="0" fontId="0" fillId="15" borderId="5" xfId="0" applyFill="1" applyBorder="1" applyAlignment="1" applyProtection="1">
      <alignment horizontal="center" vertical="center"/>
      <protection locked="0"/>
    </xf>
    <xf numFmtId="0" fontId="0" fillId="12" borderId="4" xfId="0" applyFill="1" applyBorder="1" applyAlignment="1" applyProtection="1">
      <alignment horizontal="center" vertical="center"/>
      <protection locked="0"/>
    </xf>
    <xf numFmtId="0" fontId="8" fillId="0" borderId="1" xfId="2" applyFont="1" applyBorder="1" applyAlignment="1" applyProtection="1">
      <alignment horizontal="center" vertical="center"/>
      <protection locked="0"/>
    </xf>
    <xf numFmtId="0" fontId="8" fillId="0" borderId="1" xfId="2" applyFont="1" applyBorder="1" applyAlignment="1" applyProtection="1">
      <alignment horizontal="center" vertical="center" wrapText="1"/>
      <protection locked="0"/>
    </xf>
    <xf numFmtId="0" fontId="20" fillId="0" borderId="0" xfId="0" applyFont="1" applyAlignment="1">
      <alignment horizontal="center" vertical="center"/>
    </xf>
    <xf numFmtId="0" fontId="20" fillId="0" borderId="0" xfId="0" applyFont="1" applyAlignment="1" applyProtection="1">
      <alignment horizontal="center" vertical="center"/>
      <protection locked="0"/>
    </xf>
    <xf numFmtId="0" fontId="21" fillId="4" borderId="1" xfId="0" applyFont="1" applyFill="1" applyBorder="1" applyAlignment="1" applyProtection="1">
      <alignment horizontal="center" vertical="center"/>
      <protection locked="0"/>
    </xf>
    <xf numFmtId="0" fontId="8" fillId="16" borderId="1" xfId="2" applyFont="1" applyFill="1" applyBorder="1" applyAlignment="1" applyProtection="1">
      <alignment horizontal="center" vertical="center"/>
      <protection locked="0"/>
    </xf>
    <xf numFmtId="0" fontId="8" fillId="8" borderId="1" xfId="2" applyFont="1" applyFill="1" applyBorder="1" applyAlignment="1" applyProtection="1">
      <alignment horizontal="center" vertical="center"/>
      <protection locked="0"/>
    </xf>
    <xf numFmtId="0" fontId="8" fillId="11" borderId="1" xfId="2"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0" fontId="8" fillId="16" borderId="6" xfId="2" applyFont="1" applyFill="1" applyBorder="1" applyAlignment="1" applyProtection="1">
      <alignment horizontal="center" vertical="center"/>
      <protection locked="0"/>
    </xf>
    <xf numFmtId="0" fontId="8" fillId="8" borderId="6" xfId="2" applyFont="1" applyFill="1" applyBorder="1" applyAlignment="1" applyProtection="1">
      <alignment horizontal="center" vertical="center"/>
      <protection locked="0"/>
    </xf>
    <xf numFmtId="0" fontId="8" fillId="11" borderId="6" xfId="2" applyFont="1" applyFill="1" applyBorder="1" applyAlignment="1" applyProtection="1">
      <alignment horizontal="center" vertical="center"/>
      <protection locked="0"/>
    </xf>
    <xf numFmtId="0" fontId="21" fillId="4" borderId="1" xfId="0" applyFont="1" applyFill="1" applyBorder="1" applyAlignment="1" applyProtection="1">
      <alignment horizontal="centerContinuous" vertical="center"/>
      <protection locked="0"/>
    </xf>
    <xf numFmtId="0" fontId="0" fillId="7" borderId="5" xfId="0" applyFill="1" applyBorder="1" applyAlignment="1" applyProtection="1">
      <alignment horizontal="center" vertical="center"/>
      <protection locked="0"/>
    </xf>
    <xf numFmtId="0" fontId="6" fillId="9" borderId="12" xfId="0" applyFont="1" applyFill="1" applyBorder="1" applyAlignment="1" applyProtection="1">
      <alignment vertical="center"/>
      <protection locked="0"/>
    </xf>
    <xf numFmtId="0" fontId="6" fillId="9" borderId="14" xfId="0" applyFont="1" applyFill="1" applyBorder="1" applyAlignment="1" applyProtection="1">
      <alignment vertical="center"/>
      <protection locked="0"/>
    </xf>
    <xf numFmtId="164" fontId="11" fillId="0" borderId="0" xfId="4" applyNumberFormat="1" applyFont="1" applyAlignment="1" applyProtection="1">
      <alignment horizontal="left" vertical="center"/>
      <protection locked="0"/>
    </xf>
    <xf numFmtId="3" fontId="24" fillId="3" borderId="1" xfId="0" applyNumberFormat="1" applyFont="1" applyFill="1" applyBorder="1" applyAlignment="1" applyProtection="1">
      <alignment horizontal="left" vertical="center"/>
      <protection locked="0"/>
    </xf>
    <xf numFmtId="0" fontId="22" fillId="11" borderId="0" xfId="0" applyFont="1" applyFill="1" applyAlignment="1" applyProtection="1">
      <alignment horizontal="center" vertical="center"/>
      <protection locked="0"/>
    </xf>
    <xf numFmtId="0" fontId="1" fillId="2" borderId="6" xfId="0" applyFont="1" applyFill="1" applyBorder="1" applyAlignment="1" applyProtection="1">
      <alignment horizontal="left" vertical="center"/>
      <protection locked="0"/>
    </xf>
    <xf numFmtId="0" fontId="1" fillId="2" borderId="2" xfId="0" applyFont="1" applyFill="1" applyBorder="1" applyAlignment="1" applyProtection="1">
      <alignment horizontal="left" vertical="center"/>
      <protection locked="0"/>
    </xf>
    <xf numFmtId="0" fontId="1" fillId="2" borderId="7" xfId="0" applyFont="1" applyFill="1" applyBorder="1" applyAlignment="1" applyProtection="1">
      <alignment horizontal="left" vertical="center"/>
      <protection locked="0"/>
    </xf>
    <xf numFmtId="0" fontId="0" fillId="0" borderId="6"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cellXfs>
  <cellStyles count="5">
    <cellStyle name="Comma" xfId="4" builtinId="3"/>
    <cellStyle name="Hyperlink" xfId="3" builtinId="8"/>
    <cellStyle name="Normal" xfId="0" builtinId="0"/>
    <cellStyle name="Normal 2" xfId="2" xr:uid="{00000000-0005-0000-0000-000001000000}"/>
    <cellStyle name="Normal 3" xfId="1" xr:uid="{00000000-0005-0000-0000-000002000000}"/>
  </cellStyles>
  <dxfs count="3">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
      <tableStyleElement type="headerRow" dxfId="1"/>
    </tableStyle>
  </tableStyles>
  <colors>
    <mruColors>
      <color rgb="FFFF99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27</xdr:col>
      <xdr:colOff>111125</xdr:colOff>
      <xdr:row>0</xdr:row>
      <xdr:rowOff>158750</xdr:rowOff>
    </xdr:from>
    <xdr:to>
      <xdr:col>35</xdr:col>
      <xdr:colOff>841379</xdr:colOff>
      <xdr:row>2</xdr:row>
      <xdr:rowOff>1881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45125" y="158750"/>
          <a:ext cx="4603754" cy="6051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1067144</xdr:colOff>
      <xdr:row>0</xdr:row>
      <xdr:rowOff>0</xdr:rowOff>
    </xdr:from>
    <xdr:to>
      <xdr:col>25</xdr:col>
      <xdr:colOff>1397884</xdr:colOff>
      <xdr:row>1</xdr:row>
      <xdr:rowOff>642936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976519" y="0"/>
          <a:ext cx="9260428" cy="1190624"/>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5341620</xdr:colOff>
          <xdr:row>1</xdr:row>
          <xdr:rowOff>259080</xdr:rowOff>
        </xdr:from>
        <xdr:to>
          <xdr:col>3</xdr:col>
          <xdr:colOff>7658100</xdr:colOff>
          <xdr:row>2</xdr:row>
          <xdr:rowOff>411480</xdr:rowOff>
        </xdr:to>
        <xdr:sp macro="" textlink="">
          <xdr:nvSpPr>
            <xdr:cNvPr id="3135" name="Button 63"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ea typeface="Calibri"/>
                  <a:cs typeface="Calibri"/>
                </a:rPr>
                <a:t>Update Risks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rcadis.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arcadis.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J122"/>
  <sheetViews>
    <sheetView view="pageBreakPreview" zoomScale="115" zoomScaleNormal="55" zoomScaleSheetLayoutView="115" workbookViewId="0">
      <selection activeCell="A6" sqref="A6"/>
    </sheetView>
  </sheetViews>
  <sheetFormatPr defaultColWidth="9.109375" defaultRowHeight="14.4" x14ac:dyDescent="0.3"/>
  <cols>
    <col min="1" max="2" width="9.109375" style="17"/>
    <col min="3" max="3" width="21" style="17" customWidth="1"/>
    <col min="4" max="4" width="56.88671875" style="18" customWidth="1"/>
    <col min="5" max="5" width="59.5546875" style="18" customWidth="1"/>
    <col min="6" max="6" width="12.44140625" style="17" customWidth="1"/>
    <col min="7" max="7" width="10.44140625" style="17" customWidth="1"/>
    <col min="8" max="8" width="12" style="17" bestFit="1" customWidth="1"/>
    <col min="9" max="9" width="12" style="19" customWidth="1"/>
    <col min="10" max="34" width="3.5546875" style="17" customWidth="1"/>
    <col min="35" max="35" width="31.44140625" style="18" customWidth="1"/>
    <col min="36" max="36" width="16" style="17" bestFit="1" customWidth="1"/>
    <col min="37" max="16384" width="9.109375" style="17"/>
  </cols>
  <sheetData>
    <row r="1" spans="1:36" s="49" customFormat="1" ht="30" customHeight="1" x14ac:dyDescent="0.3">
      <c r="A1" s="48" t="s">
        <v>63</v>
      </c>
      <c r="D1" s="50"/>
      <c r="E1" s="50"/>
      <c r="I1" s="51"/>
      <c r="AI1" s="50"/>
    </row>
    <row r="2" spans="1:36" s="49" customFormat="1" ht="30" customHeight="1" x14ac:dyDescent="0.3">
      <c r="A2" s="48" t="str">
        <f>Riskregister!A2</f>
        <v>Report Date:</v>
      </c>
      <c r="D2" s="50"/>
      <c r="E2" s="50"/>
      <c r="I2" s="51"/>
      <c r="AI2" s="50"/>
    </row>
    <row r="3" spans="1:36" s="49" customFormat="1" ht="36" customHeight="1" x14ac:dyDescent="0.3">
      <c r="A3" s="16"/>
      <c r="D3" s="50"/>
      <c r="E3" s="57" t="s">
        <v>67</v>
      </c>
      <c r="I3" s="51"/>
      <c r="AI3" s="50"/>
      <c r="AJ3" s="50"/>
    </row>
    <row r="4" spans="1:36" x14ac:dyDescent="0.3">
      <c r="A4" s="20" t="s">
        <v>26</v>
      </c>
      <c r="B4" s="20" t="str">
        <f>Riskregister!B4</f>
        <v>Team</v>
      </c>
      <c r="C4" s="21" t="str">
        <f>Riskregister!C4</f>
        <v>Risk Category</v>
      </c>
      <c r="D4" s="22" t="str">
        <f>Riskregister!D4</f>
        <v>Brief descriptor</v>
      </c>
      <c r="E4" s="22" t="str">
        <f>Riskregister!F4</f>
        <v>Potential Consequence</v>
      </c>
      <c r="F4" s="23" t="s">
        <v>60</v>
      </c>
      <c r="G4" s="23"/>
      <c r="H4" s="23"/>
      <c r="I4" s="24"/>
      <c r="J4" s="23" t="s">
        <v>62</v>
      </c>
      <c r="K4" s="23"/>
      <c r="L4" s="23"/>
      <c r="M4" s="23"/>
      <c r="N4" s="23"/>
      <c r="O4" s="23"/>
      <c r="P4" s="23"/>
      <c r="Q4" s="23"/>
      <c r="R4" s="23"/>
      <c r="S4" s="23"/>
      <c r="T4" s="23"/>
      <c r="U4" s="23"/>
      <c r="V4" s="23"/>
      <c r="W4" s="23"/>
      <c r="X4" s="23"/>
      <c r="Y4" s="23"/>
      <c r="Z4" s="23"/>
      <c r="AA4" s="23"/>
      <c r="AB4" s="23"/>
      <c r="AC4" s="23"/>
      <c r="AD4" s="23"/>
      <c r="AE4" s="23"/>
      <c r="AF4" s="23"/>
      <c r="AG4" s="23"/>
      <c r="AH4" s="23"/>
      <c r="AI4" s="25" t="s">
        <v>60</v>
      </c>
      <c r="AJ4" s="25" t="s">
        <v>65</v>
      </c>
    </row>
    <row r="5" spans="1:36" x14ac:dyDescent="0.3">
      <c r="A5" s="26"/>
      <c r="B5" s="26"/>
      <c r="C5" s="27"/>
      <c r="D5" s="28"/>
      <c r="E5" s="28"/>
      <c r="F5" s="29" t="s">
        <v>37</v>
      </c>
      <c r="G5" s="29" t="s">
        <v>35</v>
      </c>
      <c r="H5" s="29" t="s">
        <v>31</v>
      </c>
      <c r="I5" s="30" t="s">
        <v>59</v>
      </c>
      <c r="J5" s="29">
        <v>1</v>
      </c>
      <c r="K5" s="29">
        <v>2</v>
      </c>
      <c r="L5" s="29">
        <v>3</v>
      </c>
      <c r="M5" s="29">
        <v>4</v>
      </c>
      <c r="N5" s="29">
        <v>5</v>
      </c>
      <c r="O5" s="29">
        <v>6</v>
      </c>
      <c r="P5" s="29">
        <v>7</v>
      </c>
      <c r="Q5" s="29">
        <v>8</v>
      </c>
      <c r="R5" s="29">
        <v>9</v>
      </c>
      <c r="S5" s="29">
        <v>10</v>
      </c>
      <c r="T5" s="29">
        <v>11</v>
      </c>
      <c r="U5" s="29">
        <v>12</v>
      </c>
      <c r="V5" s="29">
        <v>13</v>
      </c>
      <c r="W5" s="29">
        <v>14</v>
      </c>
      <c r="X5" s="29">
        <v>15</v>
      </c>
      <c r="Y5" s="29">
        <v>16</v>
      </c>
      <c r="Z5" s="29">
        <v>17</v>
      </c>
      <c r="AA5" s="29">
        <v>18</v>
      </c>
      <c r="AB5" s="29">
        <v>19</v>
      </c>
      <c r="AC5" s="29">
        <v>20</v>
      </c>
      <c r="AD5" s="29">
        <v>21</v>
      </c>
      <c r="AE5" s="29">
        <v>22</v>
      </c>
      <c r="AF5" s="29">
        <v>23</v>
      </c>
      <c r="AG5" s="29">
        <v>24</v>
      </c>
      <c r="AH5" s="29">
        <v>25</v>
      </c>
      <c r="AI5" s="31" t="s">
        <v>61</v>
      </c>
      <c r="AJ5" s="31"/>
    </row>
    <row r="6" spans="1:36" x14ac:dyDescent="0.3">
      <c r="A6" s="32"/>
      <c r="B6" s="32"/>
      <c r="C6" s="33"/>
      <c r="D6" s="34"/>
      <c r="E6" s="34"/>
      <c r="F6" s="35"/>
      <c r="G6" s="35"/>
      <c r="H6" s="35"/>
      <c r="I6" s="36"/>
      <c r="J6" s="37">
        <v>60</v>
      </c>
      <c r="K6" s="38">
        <v>60</v>
      </c>
      <c r="L6" s="38">
        <v>60</v>
      </c>
      <c r="M6" s="38">
        <v>60</v>
      </c>
      <c r="N6" s="38">
        <v>60</v>
      </c>
      <c r="O6" s="38">
        <v>60</v>
      </c>
      <c r="P6" s="38">
        <v>60</v>
      </c>
      <c r="Q6" s="38">
        <v>60</v>
      </c>
      <c r="R6" s="38">
        <v>60</v>
      </c>
      <c r="S6" s="38">
        <v>60</v>
      </c>
      <c r="T6" s="38">
        <v>60</v>
      </c>
      <c r="U6" s="38">
        <v>60</v>
      </c>
      <c r="V6" s="38">
        <v>60</v>
      </c>
      <c r="W6" s="38">
        <v>60</v>
      </c>
      <c r="X6" s="38">
        <v>60</v>
      </c>
      <c r="Y6" s="38">
        <v>60</v>
      </c>
      <c r="Z6" s="38">
        <v>60</v>
      </c>
      <c r="AA6" s="38">
        <v>60</v>
      </c>
      <c r="AB6" s="38">
        <v>60</v>
      </c>
      <c r="AC6" s="38">
        <v>60</v>
      </c>
      <c r="AD6" s="38">
        <v>60</v>
      </c>
      <c r="AE6" s="38">
        <v>60</v>
      </c>
      <c r="AF6" s="38">
        <v>60</v>
      </c>
      <c r="AG6" s="38">
        <v>60</v>
      </c>
      <c r="AH6" s="98">
        <v>60</v>
      </c>
      <c r="AI6" s="39" t="str">
        <f>Riskregister!Q6</f>
        <v>VHHI-Arcadis</v>
      </c>
      <c r="AJ6" s="40" t="str">
        <f>Riskregister!S6</f>
        <v>Current</v>
      </c>
    </row>
    <row r="7" spans="1:36" x14ac:dyDescent="0.3">
      <c r="A7" s="32"/>
      <c r="B7" s="32"/>
      <c r="C7" s="33"/>
      <c r="D7" s="34"/>
      <c r="E7" s="34"/>
      <c r="F7" s="35"/>
      <c r="G7" s="35"/>
      <c r="H7" s="35"/>
      <c r="I7" s="36"/>
      <c r="J7" s="41">
        <v>60</v>
      </c>
      <c r="K7" s="42">
        <v>60</v>
      </c>
      <c r="L7" s="42">
        <v>60</v>
      </c>
      <c r="M7" s="42">
        <v>60</v>
      </c>
      <c r="N7" s="42">
        <v>60</v>
      </c>
      <c r="O7" s="42">
        <v>60</v>
      </c>
      <c r="P7" s="42">
        <v>60</v>
      </c>
      <c r="Q7" s="42">
        <v>60</v>
      </c>
      <c r="R7" s="42">
        <v>60</v>
      </c>
      <c r="S7" s="42">
        <v>60</v>
      </c>
      <c r="T7" s="42">
        <v>60</v>
      </c>
      <c r="U7" s="42">
        <v>60</v>
      </c>
      <c r="V7" s="42">
        <v>60</v>
      </c>
      <c r="W7" s="42">
        <v>60</v>
      </c>
      <c r="X7" s="42">
        <v>60</v>
      </c>
      <c r="Y7" s="42">
        <v>60</v>
      </c>
      <c r="Z7" s="42">
        <v>60</v>
      </c>
      <c r="AA7" s="42">
        <v>60</v>
      </c>
      <c r="AB7" s="42">
        <v>60</v>
      </c>
      <c r="AC7" s="42">
        <v>60</v>
      </c>
      <c r="AD7" s="42">
        <v>60</v>
      </c>
      <c r="AE7" s="42">
        <v>60</v>
      </c>
      <c r="AF7" s="42">
        <v>60</v>
      </c>
      <c r="AG7" s="42">
        <v>60</v>
      </c>
      <c r="AH7" s="43">
        <v>60</v>
      </c>
      <c r="AI7" s="39" t="str">
        <f>Riskregister!Q8</f>
        <v>VHHI</v>
      </c>
      <c r="AJ7" s="40" t="str">
        <f>Riskregister!S8</f>
        <v>Current</v>
      </c>
    </row>
    <row r="8" spans="1:36" ht="66" customHeight="1" x14ac:dyDescent="0.3">
      <c r="A8" s="32"/>
      <c r="B8" s="32"/>
      <c r="C8" s="33"/>
      <c r="D8" s="34"/>
      <c r="E8" s="34"/>
      <c r="F8" s="35"/>
      <c r="G8" s="35"/>
      <c r="H8" s="35"/>
      <c r="I8" s="36"/>
      <c r="J8" s="41">
        <v>60</v>
      </c>
      <c r="K8" s="42">
        <v>60</v>
      </c>
      <c r="L8" s="42">
        <v>60</v>
      </c>
      <c r="M8" s="42">
        <v>60</v>
      </c>
      <c r="N8" s="42">
        <v>60</v>
      </c>
      <c r="O8" s="42">
        <v>60</v>
      </c>
      <c r="P8" s="42">
        <v>60</v>
      </c>
      <c r="Q8" s="42">
        <v>60</v>
      </c>
      <c r="R8" s="42">
        <v>60</v>
      </c>
      <c r="S8" s="42">
        <v>60</v>
      </c>
      <c r="T8" s="42">
        <v>60</v>
      </c>
      <c r="U8" s="42">
        <v>60</v>
      </c>
      <c r="V8" s="42">
        <v>60</v>
      </c>
      <c r="W8" s="42">
        <v>60</v>
      </c>
      <c r="X8" s="42">
        <v>60</v>
      </c>
      <c r="Y8" s="42">
        <v>60</v>
      </c>
      <c r="Z8" s="42">
        <v>60</v>
      </c>
      <c r="AA8" s="42">
        <v>60</v>
      </c>
      <c r="AB8" s="42">
        <v>60</v>
      </c>
      <c r="AC8" s="42">
        <v>60</v>
      </c>
      <c r="AD8" s="42">
        <v>60</v>
      </c>
      <c r="AE8" s="42">
        <v>60</v>
      </c>
      <c r="AF8" s="42">
        <v>60</v>
      </c>
      <c r="AG8" s="42">
        <v>60</v>
      </c>
      <c r="AH8" s="43">
        <v>60</v>
      </c>
      <c r="AI8" s="39" t="str">
        <f>Riskregister!Q9</f>
        <v>Arcadis</v>
      </c>
      <c r="AJ8" s="40" t="str">
        <f>Riskregister!S9</f>
        <v>Current</v>
      </c>
    </row>
    <row r="9" spans="1:36" x14ac:dyDescent="0.3">
      <c r="A9" s="32"/>
      <c r="B9" s="32"/>
      <c r="C9" s="33"/>
      <c r="D9" s="34"/>
      <c r="E9" s="34"/>
      <c r="F9" s="35"/>
      <c r="G9" s="35"/>
      <c r="H9" s="35"/>
      <c r="I9" s="36"/>
      <c r="J9" s="41">
        <v>60</v>
      </c>
      <c r="K9" s="42">
        <v>60</v>
      </c>
      <c r="L9" s="42">
        <v>60</v>
      </c>
      <c r="M9" s="42">
        <v>60</v>
      </c>
      <c r="N9" s="42">
        <v>60</v>
      </c>
      <c r="O9" s="42">
        <v>60</v>
      </c>
      <c r="P9" s="42">
        <v>60</v>
      </c>
      <c r="Q9" s="42">
        <v>60</v>
      </c>
      <c r="R9" s="42">
        <v>60</v>
      </c>
      <c r="S9" s="42">
        <v>60</v>
      </c>
      <c r="T9" s="42">
        <v>60</v>
      </c>
      <c r="U9" s="42">
        <v>60</v>
      </c>
      <c r="V9" s="42">
        <v>60</v>
      </c>
      <c r="W9" s="42">
        <v>60</v>
      </c>
      <c r="X9" s="42">
        <v>60</v>
      </c>
      <c r="Y9" s="42">
        <v>60</v>
      </c>
      <c r="Z9" s="42">
        <v>60</v>
      </c>
      <c r="AA9" s="42">
        <v>60</v>
      </c>
      <c r="AB9" s="42">
        <v>60</v>
      </c>
      <c r="AC9" s="42">
        <v>60</v>
      </c>
      <c r="AD9" s="42">
        <v>60</v>
      </c>
      <c r="AE9" s="42">
        <v>60</v>
      </c>
      <c r="AF9" s="42">
        <v>60</v>
      </c>
      <c r="AG9" s="42">
        <v>60</v>
      </c>
      <c r="AH9" s="43">
        <v>60</v>
      </c>
      <c r="AI9" s="39" t="str">
        <f>Riskregister!Q10</f>
        <v>VHHI-Arcadis</v>
      </c>
      <c r="AJ9" s="40" t="str">
        <f>Riskregister!S10</f>
        <v>Current</v>
      </c>
    </row>
    <row r="10" spans="1:36" x14ac:dyDescent="0.3">
      <c r="A10" s="32"/>
      <c r="B10" s="32"/>
      <c r="C10" s="33"/>
      <c r="D10" s="34"/>
      <c r="E10" s="34"/>
      <c r="F10" s="35"/>
      <c r="G10" s="35"/>
      <c r="H10" s="35"/>
      <c r="I10" s="36"/>
      <c r="J10" s="41">
        <v>60</v>
      </c>
      <c r="K10" s="42">
        <v>60</v>
      </c>
      <c r="L10" s="42">
        <v>60</v>
      </c>
      <c r="M10" s="42">
        <v>60</v>
      </c>
      <c r="N10" s="42">
        <v>60</v>
      </c>
      <c r="O10" s="42">
        <v>60</v>
      </c>
      <c r="P10" s="42">
        <v>60</v>
      </c>
      <c r="Q10" s="42">
        <v>60</v>
      </c>
      <c r="R10" s="42">
        <v>60</v>
      </c>
      <c r="S10" s="42">
        <v>60</v>
      </c>
      <c r="T10" s="42">
        <v>60</v>
      </c>
      <c r="U10" s="42">
        <v>60</v>
      </c>
      <c r="V10" s="42">
        <v>60</v>
      </c>
      <c r="W10" s="42">
        <v>60</v>
      </c>
      <c r="X10" s="42">
        <v>60</v>
      </c>
      <c r="Y10" s="42">
        <v>60</v>
      </c>
      <c r="Z10" s="42">
        <v>60</v>
      </c>
      <c r="AA10" s="42">
        <v>60</v>
      </c>
      <c r="AB10" s="42">
        <v>60</v>
      </c>
      <c r="AC10" s="42">
        <v>60</v>
      </c>
      <c r="AD10" s="42">
        <v>60</v>
      </c>
      <c r="AE10" s="42">
        <v>60</v>
      </c>
      <c r="AF10" s="42">
        <v>60</v>
      </c>
      <c r="AG10" s="42">
        <v>60</v>
      </c>
      <c r="AH10" s="43">
        <v>60</v>
      </c>
      <c r="AI10" s="39" t="str">
        <f>Riskregister!Q11</f>
        <v>VHHI</v>
      </c>
      <c r="AJ10" s="40" t="str">
        <f>Riskregister!S11</f>
        <v>Current</v>
      </c>
    </row>
    <row r="11" spans="1:36" x14ac:dyDescent="0.3">
      <c r="A11" s="32"/>
      <c r="B11" s="32"/>
      <c r="C11" s="33"/>
      <c r="D11" s="34"/>
      <c r="E11" s="34"/>
      <c r="F11" s="35"/>
      <c r="G11" s="35"/>
      <c r="H11" s="35"/>
      <c r="I11" s="36"/>
      <c r="J11" s="41">
        <v>60</v>
      </c>
      <c r="K11" s="42">
        <v>60</v>
      </c>
      <c r="L11" s="42">
        <v>60</v>
      </c>
      <c r="M11" s="42">
        <v>60</v>
      </c>
      <c r="N11" s="42">
        <v>60</v>
      </c>
      <c r="O11" s="42">
        <v>60</v>
      </c>
      <c r="P11" s="42">
        <v>60</v>
      </c>
      <c r="Q11" s="42">
        <v>60</v>
      </c>
      <c r="R11" s="42">
        <v>60</v>
      </c>
      <c r="S11" s="42">
        <v>60</v>
      </c>
      <c r="T11" s="42">
        <v>60</v>
      </c>
      <c r="U11" s="42">
        <v>60</v>
      </c>
      <c r="V11" s="42">
        <v>60</v>
      </c>
      <c r="W11" s="42">
        <v>60</v>
      </c>
      <c r="X11" s="42">
        <v>60</v>
      </c>
      <c r="Y11" s="42">
        <v>60</v>
      </c>
      <c r="Z11" s="42">
        <v>60</v>
      </c>
      <c r="AA11" s="42">
        <v>60</v>
      </c>
      <c r="AB11" s="42">
        <v>60</v>
      </c>
      <c r="AC11" s="42">
        <v>60</v>
      </c>
      <c r="AD11" s="42">
        <v>60</v>
      </c>
      <c r="AE11" s="42">
        <v>60</v>
      </c>
      <c r="AF11" s="42">
        <v>60</v>
      </c>
      <c r="AG11" s="42">
        <v>60</v>
      </c>
      <c r="AH11" s="43">
        <v>60</v>
      </c>
      <c r="AI11" s="39" t="str">
        <f>Riskregister!Q12</f>
        <v>VHHI</v>
      </c>
      <c r="AJ11" s="40" t="str">
        <f>Riskregister!S12</f>
        <v>Current</v>
      </c>
    </row>
    <row r="12" spans="1:36" x14ac:dyDescent="0.3">
      <c r="A12" s="32"/>
      <c r="B12" s="32"/>
      <c r="C12" s="33"/>
      <c r="D12" s="34"/>
      <c r="E12" s="34"/>
      <c r="F12" s="35"/>
      <c r="G12" s="35"/>
      <c r="H12" s="35"/>
      <c r="I12" s="36"/>
      <c r="J12" s="41">
        <v>60</v>
      </c>
      <c r="K12" s="42">
        <v>60</v>
      </c>
      <c r="L12" s="42">
        <v>60</v>
      </c>
      <c r="M12" s="42">
        <v>60</v>
      </c>
      <c r="N12" s="42">
        <v>60</v>
      </c>
      <c r="O12" s="42">
        <v>60</v>
      </c>
      <c r="P12" s="42">
        <v>60</v>
      </c>
      <c r="Q12" s="42">
        <v>60</v>
      </c>
      <c r="R12" s="42">
        <v>60</v>
      </c>
      <c r="S12" s="42">
        <v>60</v>
      </c>
      <c r="T12" s="42">
        <v>60</v>
      </c>
      <c r="U12" s="42">
        <v>60</v>
      </c>
      <c r="V12" s="42">
        <v>60</v>
      </c>
      <c r="W12" s="42">
        <v>60</v>
      </c>
      <c r="X12" s="42">
        <v>60</v>
      </c>
      <c r="Y12" s="42">
        <v>60</v>
      </c>
      <c r="Z12" s="42">
        <v>60</v>
      </c>
      <c r="AA12" s="42">
        <v>60</v>
      </c>
      <c r="AB12" s="42">
        <v>60</v>
      </c>
      <c r="AC12" s="42">
        <v>60</v>
      </c>
      <c r="AD12" s="42">
        <v>60</v>
      </c>
      <c r="AE12" s="42">
        <v>60</v>
      </c>
      <c r="AF12" s="42">
        <v>60</v>
      </c>
      <c r="AG12" s="42">
        <v>60</v>
      </c>
      <c r="AH12" s="43">
        <v>60</v>
      </c>
      <c r="AI12" s="39" t="str">
        <f>Riskregister!Q13</f>
        <v>VHHI-Arcadis</v>
      </c>
      <c r="AJ12" s="40" t="str">
        <f>Riskregister!S13</f>
        <v>Current</v>
      </c>
    </row>
    <row r="13" spans="1:36" ht="62.1" customHeight="1" x14ac:dyDescent="0.3">
      <c r="A13" s="32"/>
      <c r="B13" s="32"/>
      <c r="C13" s="33"/>
      <c r="D13" s="34"/>
      <c r="E13" s="34"/>
      <c r="F13" s="35"/>
      <c r="G13" s="35"/>
      <c r="H13" s="35"/>
      <c r="I13" s="36"/>
      <c r="J13" s="41">
        <v>60</v>
      </c>
      <c r="K13" s="42">
        <v>60</v>
      </c>
      <c r="L13" s="42">
        <v>60</v>
      </c>
      <c r="M13" s="42">
        <v>60</v>
      </c>
      <c r="N13" s="42">
        <v>60</v>
      </c>
      <c r="O13" s="42">
        <v>60</v>
      </c>
      <c r="P13" s="42">
        <v>60</v>
      </c>
      <c r="Q13" s="42">
        <v>60</v>
      </c>
      <c r="R13" s="42">
        <v>60</v>
      </c>
      <c r="S13" s="42">
        <v>60</v>
      </c>
      <c r="T13" s="42">
        <v>60</v>
      </c>
      <c r="U13" s="42">
        <v>60</v>
      </c>
      <c r="V13" s="42">
        <v>60</v>
      </c>
      <c r="W13" s="42">
        <v>60</v>
      </c>
      <c r="X13" s="42">
        <v>60</v>
      </c>
      <c r="Y13" s="42">
        <v>60</v>
      </c>
      <c r="Z13" s="42">
        <v>60</v>
      </c>
      <c r="AA13" s="42">
        <v>60</v>
      </c>
      <c r="AB13" s="42">
        <v>60</v>
      </c>
      <c r="AC13" s="42">
        <v>60</v>
      </c>
      <c r="AD13" s="42">
        <v>60</v>
      </c>
      <c r="AE13" s="42">
        <v>60</v>
      </c>
      <c r="AF13" s="42">
        <v>60</v>
      </c>
      <c r="AG13" s="42">
        <v>60</v>
      </c>
      <c r="AH13" s="43">
        <v>60</v>
      </c>
      <c r="AI13" s="39" t="str">
        <f>Riskregister!Q14</f>
        <v>VHHI</v>
      </c>
      <c r="AJ13" s="40" t="str">
        <f>Riskregister!S14</f>
        <v>Current</v>
      </c>
    </row>
    <row r="14" spans="1:36" x14ac:dyDescent="0.3">
      <c r="A14" s="32"/>
      <c r="B14" s="32"/>
      <c r="C14" s="33"/>
      <c r="D14" s="34"/>
      <c r="E14" s="34"/>
      <c r="F14" s="35"/>
      <c r="G14" s="35"/>
      <c r="H14" s="35"/>
      <c r="I14" s="36"/>
      <c r="J14" s="41">
        <v>60</v>
      </c>
      <c r="K14" s="42">
        <v>60</v>
      </c>
      <c r="L14" s="42">
        <v>60</v>
      </c>
      <c r="M14" s="42">
        <v>60</v>
      </c>
      <c r="N14" s="42">
        <v>60</v>
      </c>
      <c r="O14" s="42">
        <v>60</v>
      </c>
      <c r="P14" s="42">
        <v>60</v>
      </c>
      <c r="Q14" s="42">
        <v>60</v>
      </c>
      <c r="R14" s="42">
        <v>60</v>
      </c>
      <c r="S14" s="42">
        <v>60</v>
      </c>
      <c r="T14" s="42">
        <v>60</v>
      </c>
      <c r="U14" s="42">
        <v>60</v>
      </c>
      <c r="V14" s="42">
        <v>60</v>
      </c>
      <c r="W14" s="42">
        <v>60</v>
      </c>
      <c r="X14" s="42">
        <v>60</v>
      </c>
      <c r="Y14" s="42">
        <v>60</v>
      </c>
      <c r="Z14" s="42">
        <v>60</v>
      </c>
      <c r="AA14" s="42">
        <v>60</v>
      </c>
      <c r="AB14" s="42">
        <v>60</v>
      </c>
      <c r="AC14" s="42">
        <v>60</v>
      </c>
      <c r="AD14" s="42">
        <v>60</v>
      </c>
      <c r="AE14" s="42">
        <v>60</v>
      </c>
      <c r="AF14" s="42">
        <v>60</v>
      </c>
      <c r="AG14" s="42">
        <v>60</v>
      </c>
      <c r="AH14" s="43">
        <v>60</v>
      </c>
      <c r="AI14" s="39" t="str">
        <f>Riskregister!Q15</f>
        <v>VHHI</v>
      </c>
      <c r="AJ14" s="40" t="str">
        <f>Riskregister!S15</f>
        <v>Current</v>
      </c>
    </row>
    <row r="15" spans="1:36" x14ac:dyDescent="0.3">
      <c r="A15" s="32"/>
      <c r="B15" s="32"/>
      <c r="C15" s="33"/>
      <c r="D15" s="34"/>
      <c r="E15" s="34"/>
      <c r="F15" s="35"/>
      <c r="G15" s="35"/>
      <c r="H15" s="35"/>
      <c r="I15" s="36"/>
      <c r="J15" s="41">
        <v>60</v>
      </c>
      <c r="K15" s="42">
        <v>60</v>
      </c>
      <c r="L15" s="42">
        <v>60</v>
      </c>
      <c r="M15" s="42">
        <v>60</v>
      </c>
      <c r="N15" s="42">
        <v>60</v>
      </c>
      <c r="O15" s="42">
        <v>60</v>
      </c>
      <c r="P15" s="42">
        <v>60</v>
      </c>
      <c r="Q15" s="42">
        <v>60</v>
      </c>
      <c r="R15" s="42">
        <v>60</v>
      </c>
      <c r="S15" s="42">
        <v>60</v>
      </c>
      <c r="T15" s="42">
        <v>60</v>
      </c>
      <c r="U15" s="42">
        <v>60</v>
      </c>
      <c r="V15" s="42">
        <v>60</v>
      </c>
      <c r="W15" s="42">
        <v>60</v>
      </c>
      <c r="X15" s="42">
        <v>60</v>
      </c>
      <c r="Y15" s="42">
        <v>60</v>
      </c>
      <c r="Z15" s="42">
        <v>60</v>
      </c>
      <c r="AA15" s="42">
        <v>60</v>
      </c>
      <c r="AB15" s="42">
        <v>60</v>
      </c>
      <c r="AC15" s="42">
        <v>60</v>
      </c>
      <c r="AD15" s="42">
        <v>60</v>
      </c>
      <c r="AE15" s="42">
        <v>60</v>
      </c>
      <c r="AF15" s="42">
        <v>60</v>
      </c>
      <c r="AG15" s="42">
        <v>60</v>
      </c>
      <c r="AH15" s="43">
        <v>60</v>
      </c>
      <c r="AI15" s="39" t="str">
        <f>Riskregister!Q16</f>
        <v>Arcadis</v>
      </c>
      <c r="AJ15" s="40" t="str">
        <f>Riskregister!S16</f>
        <v>Current</v>
      </c>
    </row>
    <row r="16" spans="1:36" x14ac:dyDescent="0.3">
      <c r="A16" s="32"/>
      <c r="B16" s="32"/>
      <c r="C16" s="33"/>
      <c r="D16" s="34"/>
      <c r="E16" s="34"/>
      <c r="F16" s="35"/>
      <c r="G16" s="35"/>
      <c r="H16" s="35"/>
      <c r="I16" s="36"/>
      <c r="J16" s="41">
        <v>60</v>
      </c>
      <c r="K16" s="42">
        <v>60</v>
      </c>
      <c r="L16" s="42">
        <v>60</v>
      </c>
      <c r="M16" s="42">
        <v>60</v>
      </c>
      <c r="N16" s="42">
        <v>60</v>
      </c>
      <c r="O16" s="42">
        <v>60</v>
      </c>
      <c r="P16" s="42">
        <v>60</v>
      </c>
      <c r="Q16" s="42">
        <v>60</v>
      </c>
      <c r="R16" s="42">
        <v>60</v>
      </c>
      <c r="S16" s="42">
        <v>60</v>
      </c>
      <c r="T16" s="42">
        <v>60</v>
      </c>
      <c r="U16" s="42">
        <v>60</v>
      </c>
      <c r="V16" s="42">
        <v>60</v>
      </c>
      <c r="W16" s="42">
        <v>60</v>
      </c>
      <c r="X16" s="42">
        <v>60</v>
      </c>
      <c r="Y16" s="42">
        <v>60</v>
      </c>
      <c r="Z16" s="42">
        <v>60</v>
      </c>
      <c r="AA16" s="42">
        <v>60</v>
      </c>
      <c r="AB16" s="42">
        <v>60</v>
      </c>
      <c r="AC16" s="42">
        <v>60</v>
      </c>
      <c r="AD16" s="42">
        <v>60</v>
      </c>
      <c r="AE16" s="42">
        <v>60</v>
      </c>
      <c r="AF16" s="42">
        <v>60</v>
      </c>
      <c r="AG16" s="42">
        <v>60</v>
      </c>
      <c r="AH16" s="43">
        <v>60</v>
      </c>
      <c r="AI16" s="39" t="str">
        <f>Riskregister!Q17</f>
        <v>Arcadis</v>
      </c>
      <c r="AJ16" s="40" t="str">
        <f>Riskregister!S17</f>
        <v>Current</v>
      </c>
    </row>
    <row r="17" spans="1:36" x14ac:dyDescent="0.3">
      <c r="A17" s="32"/>
      <c r="B17" s="32"/>
      <c r="C17" s="33"/>
      <c r="D17" s="34"/>
      <c r="E17" s="34"/>
      <c r="F17" s="35"/>
      <c r="G17" s="35"/>
      <c r="H17" s="35"/>
      <c r="I17" s="36"/>
      <c r="J17" s="41">
        <v>60</v>
      </c>
      <c r="K17" s="42">
        <v>60</v>
      </c>
      <c r="L17" s="42">
        <v>60</v>
      </c>
      <c r="M17" s="42">
        <v>60</v>
      </c>
      <c r="N17" s="42">
        <v>60</v>
      </c>
      <c r="O17" s="42">
        <v>60</v>
      </c>
      <c r="P17" s="42">
        <v>60</v>
      </c>
      <c r="Q17" s="42">
        <v>60</v>
      </c>
      <c r="R17" s="42">
        <v>60</v>
      </c>
      <c r="S17" s="42">
        <v>60</v>
      </c>
      <c r="T17" s="42">
        <v>60</v>
      </c>
      <c r="U17" s="42">
        <v>60</v>
      </c>
      <c r="V17" s="42">
        <v>60</v>
      </c>
      <c r="W17" s="42">
        <v>60</v>
      </c>
      <c r="X17" s="42">
        <v>60</v>
      </c>
      <c r="Y17" s="42">
        <v>60</v>
      </c>
      <c r="Z17" s="42">
        <v>60</v>
      </c>
      <c r="AA17" s="42">
        <v>60</v>
      </c>
      <c r="AB17" s="42">
        <v>60</v>
      </c>
      <c r="AC17" s="42">
        <v>60</v>
      </c>
      <c r="AD17" s="42">
        <v>60</v>
      </c>
      <c r="AE17" s="42">
        <v>60</v>
      </c>
      <c r="AF17" s="42">
        <v>60</v>
      </c>
      <c r="AG17" s="42">
        <v>60</v>
      </c>
      <c r="AH17" s="43">
        <v>60</v>
      </c>
      <c r="AI17" s="39" t="str">
        <f>Riskregister!Q18</f>
        <v>Arcadis</v>
      </c>
      <c r="AJ17" s="40" t="str">
        <f>Riskregister!S18</f>
        <v>Current</v>
      </c>
    </row>
    <row r="18" spans="1:36" x14ac:dyDescent="0.3">
      <c r="A18" s="32"/>
      <c r="B18" s="32"/>
      <c r="C18" s="33"/>
      <c r="D18" s="34"/>
      <c r="E18" s="34"/>
      <c r="F18" s="35"/>
      <c r="G18" s="35"/>
      <c r="H18" s="35"/>
      <c r="I18" s="36"/>
      <c r="J18" s="41">
        <v>60</v>
      </c>
      <c r="K18" s="42">
        <v>60</v>
      </c>
      <c r="L18" s="42">
        <v>60</v>
      </c>
      <c r="M18" s="42">
        <v>60</v>
      </c>
      <c r="N18" s="42">
        <v>60</v>
      </c>
      <c r="O18" s="42">
        <v>60</v>
      </c>
      <c r="P18" s="42">
        <v>60</v>
      </c>
      <c r="Q18" s="42">
        <v>60</v>
      </c>
      <c r="R18" s="42">
        <v>60</v>
      </c>
      <c r="S18" s="42">
        <v>60</v>
      </c>
      <c r="T18" s="42">
        <v>60</v>
      </c>
      <c r="U18" s="42">
        <v>60</v>
      </c>
      <c r="V18" s="42">
        <v>60</v>
      </c>
      <c r="W18" s="42">
        <v>60</v>
      </c>
      <c r="X18" s="42">
        <v>60</v>
      </c>
      <c r="Y18" s="42">
        <v>60</v>
      </c>
      <c r="Z18" s="42">
        <v>60</v>
      </c>
      <c r="AA18" s="42">
        <v>60</v>
      </c>
      <c r="AB18" s="42">
        <v>60</v>
      </c>
      <c r="AC18" s="42">
        <v>60</v>
      </c>
      <c r="AD18" s="42">
        <v>60</v>
      </c>
      <c r="AE18" s="42">
        <v>60</v>
      </c>
      <c r="AF18" s="42">
        <v>60</v>
      </c>
      <c r="AG18" s="42">
        <v>60</v>
      </c>
      <c r="AH18" s="43">
        <v>60</v>
      </c>
      <c r="AI18" s="39" t="str">
        <f>Riskregister!Q19</f>
        <v>Arcadis</v>
      </c>
      <c r="AJ18" s="40" t="str">
        <f>Riskregister!S19</f>
        <v>Current</v>
      </c>
    </row>
    <row r="19" spans="1:36" x14ac:dyDescent="0.3">
      <c r="A19" s="32"/>
      <c r="B19" s="32"/>
      <c r="C19" s="33"/>
      <c r="D19" s="34"/>
      <c r="E19" s="34"/>
      <c r="F19" s="35"/>
      <c r="G19" s="35"/>
      <c r="H19" s="35"/>
      <c r="I19" s="36"/>
      <c r="J19" s="41">
        <v>60</v>
      </c>
      <c r="K19" s="42">
        <v>60</v>
      </c>
      <c r="L19" s="42">
        <v>60</v>
      </c>
      <c r="M19" s="42">
        <v>60</v>
      </c>
      <c r="N19" s="42">
        <v>60</v>
      </c>
      <c r="O19" s="42">
        <v>60</v>
      </c>
      <c r="P19" s="42">
        <v>60</v>
      </c>
      <c r="Q19" s="42">
        <v>60</v>
      </c>
      <c r="R19" s="42">
        <v>60</v>
      </c>
      <c r="S19" s="42">
        <v>60</v>
      </c>
      <c r="T19" s="42">
        <v>60</v>
      </c>
      <c r="U19" s="42">
        <v>60</v>
      </c>
      <c r="V19" s="42">
        <v>60</v>
      </c>
      <c r="W19" s="42">
        <v>60</v>
      </c>
      <c r="X19" s="42">
        <v>60</v>
      </c>
      <c r="Y19" s="42">
        <v>60</v>
      </c>
      <c r="Z19" s="42">
        <v>60</v>
      </c>
      <c r="AA19" s="42">
        <v>60</v>
      </c>
      <c r="AB19" s="42">
        <v>60</v>
      </c>
      <c r="AC19" s="42">
        <v>60</v>
      </c>
      <c r="AD19" s="42">
        <v>60</v>
      </c>
      <c r="AE19" s="42">
        <v>60</v>
      </c>
      <c r="AF19" s="42">
        <v>60</v>
      </c>
      <c r="AG19" s="42">
        <v>60</v>
      </c>
      <c r="AH19" s="43">
        <v>60</v>
      </c>
      <c r="AI19" s="39" t="str">
        <f>Riskregister!Q20</f>
        <v>Arcadis</v>
      </c>
      <c r="AJ19" s="40" t="str">
        <f>Riskregister!S20</f>
        <v>Current</v>
      </c>
    </row>
    <row r="20" spans="1:36" x14ac:dyDescent="0.3">
      <c r="A20" s="32"/>
      <c r="B20" s="32"/>
      <c r="C20" s="33"/>
      <c r="D20" s="34"/>
      <c r="E20" s="34"/>
      <c r="F20" s="35"/>
      <c r="G20" s="35"/>
      <c r="H20" s="35"/>
      <c r="I20" s="36"/>
      <c r="J20" s="41">
        <v>60</v>
      </c>
      <c r="K20" s="42">
        <v>60</v>
      </c>
      <c r="L20" s="42">
        <v>60</v>
      </c>
      <c r="M20" s="42">
        <v>60</v>
      </c>
      <c r="N20" s="42">
        <v>60</v>
      </c>
      <c r="O20" s="42">
        <v>60</v>
      </c>
      <c r="P20" s="42">
        <v>60</v>
      </c>
      <c r="Q20" s="42">
        <v>60</v>
      </c>
      <c r="R20" s="42">
        <v>60</v>
      </c>
      <c r="S20" s="42">
        <v>60</v>
      </c>
      <c r="T20" s="42">
        <v>60</v>
      </c>
      <c r="U20" s="42">
        <v>60</v>
      </c>
      <c r="V20" s="42">
        <v>60</v>
      </c>
      <c r="W20" s="42">
        <v>60</v>
      </c>
      <c r="X20" s="42">
        <v>60</v>
      </c>
      <c r="Y20" s="42">
        <v>60</v>
      </c>
      <c r="Z20" s="42">
        <v>60</v>
      </c>
      <c r="AA20" s="42">
        <v>60</v>
      </c>
      <c r="AB20" s="42">
        <v>60</v>
      </c>
      <c r="AC20" s="42">
        <v>60</v>
      </c>
      <c r="AD20" s="42">
        <v>60</v>
      </c>
      <c r="AE20" s="42">
        <v>60</v>
      </c>
      <c r="AF20" s="42">
        <v>60</v>
      </c>
      <c r="AG20" s="42">
        <v>60</v>
      </c>
      <c r="AH20" s="43">
        <v>60</v>
      </c>
      <c r="AI20" s="39" t="str">
        <f>Riskregister!Q21</f>
        <v>Arcadis</v>
      </c>
      <c r="AJ20" s="40" t="str">
        <f>Riskregister!S21</f>
        <v>Current</v>
      </c>
    </row>
    <row r="21" spans="1:36" x14ac:dyDescent="0.3">
      <c r="A21" s="32"/>
      <c r="B21" s="32"/>
      <c r="C21" s="33"/>
      <c r="D21" s="34"/>
      <c r="E21" s="34"/>
      <c r="F21" s="35"/>
      <c r="G21" s="35"/>
      <c r="H21" s="35"/>
      <c r="I21" s="36"/>
      <c r="J21" s="41">
        <v>60</v>
      </c>
      <c r="K21" s="42">
        <v>60</v>
      </c>
      <c r="L21" s="42">
        <v>60</v>
      </c>
      <c r="M21" s="42">
        <v>60</v>
      </c>
      <c r="N21" s="42">
        <v>60</v>
      </c>
      <c r="O21" s="42">
        <v>60</v>
      </c>
      <c r="P21" s="42">
        <v>60</v>
      </c>
      <c r="Q21" s="42">
        <v>60</v>
      </c>
      <c r="R21" s="42">
        <v>60</v>
      </c>
      <c r="S21" s="42">
        <v>60</v>
      </c>
      <c r="T21" s="42">
        <v>60</v>
      </c>
      <c r="U21" s="42">
        <v>60</v>
      </c>
      <c r="V21" s="42">
        <v>60</v>
      </c>
      <c r="W21" s="42">
        <v>60</v>
      </c>
      <c r="X21" s="42">
        <v>60</v>
      </c>
      <c r="Y21" s="42">
        <v>60</v>
      </c>
      <c r="Z21" s="42">
        <v>60</v>
      </c>
      <c r="AA21" s="42">
        <v>60</v>
      </c>
      <c r="AB21" s="42">
        <v>60</v>
      </c>
      <c r="AC21" s="42">
        <v>60</v>
      </c>
      <c r="AD21" s="42">
        <v>60</v>
      </c>
      <c r="AE21" s="42">
        <v>60</v>
      </c>
      <c r="AF21" s="42">
        <v>60</v>
      </c>
      <c r="AG21" s="42">
        <v>60</v>
      </c>
      <c r="AH21" s="43">
        <v>60</v>
      </c>
      <c r="AI21" s="39" t="str">
        <f>Riskregister!Q22</f>
        <v>Arcadis</v>
      </c>
      <c r="AJ21" s="40" t="str">
        <f>Riskregister!S22</f>
        <v>Current</v>
      </c>
    </row>
    <row r="22" spans="1:36" x14ac:dyDescent="0.3">
      <c r="A22" s="32"/>
      <c r="B22" s="32"/>
      <c r="C22" s="33"/>
      <c r="D22" s="34"/>
      <c r="E22" s="34"/>
      <c r="F22" s="35"/>
      <c r="G22" s="35"/>
      <c r="H22" s="35"/>
      <c r="I22" s="36"/>
      <c r="J22" s="41">
        <v>60</v>
      </c>
      <c r="K22" s="42">
        <v>60</v>
      </c>
      <c r="L22" s="42">
        <v>60</v>
      </c>
      <c r="M22" s="42">
        <v>60</v>
      </c>
      <c r="N22" s="42">
        <v>60</v>
      </c>
      <c r="O22" s="42">
        <v>60</v>
      </c>
      <c r="P22" s="42">
        <v>60</v>
      </c>
      <c r="Q22" s="42">
        <v>60</v>
      </c>
      <c r="R22" s="42">
        <v>60</v>
      </c>
      <c r="S22" s="42">
        <v>60</v>
      </c>
      <c r="T22" s="42">
        <v>60</v>
      </c>
      <c r="U22" s="42">
        <v>60</v>
      </c>
      <c r="V22" s="42">
        <v>60</v>
      </c>
      <c r="W22" s="42">
        <v>60</v>
      </c>
      <c r="X22" s="42">
        <v>60</v>
      </c>
      <c r="Y22" s="42">
        <v>60</v>
      </c>
      <c r="Z22" s="42">
        <v>60</v>
      </c>
      <c r="AA22" s="42">
        <v>60</v>
      </c>
      <c r="AB22" s="42">
        <v>60</v>
      </c>
      <c r="AC22" s="42">
        <v>60</v>
      </c>
      <c r="AD22" s="42">
        <v>60</v>
      </c>
      <c r="AE22" s="42">
        <v>60</v>
      </c>
      <c r="AF22" s="42">
        <v>60</v>
      </c>
      <c r="AG22" s="42">
        <v>60</v>
      </c>
      <c r="AH22" s="43">
        <v>60</v>
      </c>
      <c r="AI22" s="39" t="str">
        <f>Riskregister!Q24</f>
        <v>VHHI</v>
      </c>
      <c r="AJ22" s="40" t="str">
        <f>Riskregister!S24</f>
        <v>Current</v>
      </c>
    </row>
    <row r="23" spans="1:36" x14ac:dyDescent="0.3">
      <c r="A23" s="32"/>
      <c r="B23" s="32"/>
      <c r="C23" s="33"/>
      <c r="D23" s="34"/>
      <c r="E23" s="34"/>
      <c r="F23" s="35"/>
      <c r="G23" s="35"/>
      <c r="H23" s="35"/>
      <c r="I23" s="36"/>
      <c r="J23" s="41">
        <v>60</v>
      </c>
      <c r="K23" s="42">
        <v>60</v>
      </c>
      <c r="L23" s="42">
        <v>60</v>
      </c>
      <c r="M23" s="42">
        <v>60</v>
      </c>
      <c r="N23" s="42">
        <v>60</v>
      </c>
      <c r="O23" s="42">
        <v>60</v>
      </c>
      <c r="P23" s="42">
        <v>60</v>
      </c>
      <c r="Q23" s="42">
        <v>60</v>
      </c>
      <c r="R23" s="42">
        <v>60</v>
      </c>
      <c r="S23" s="42">
        <v>60</v>
      </c>
      <c r="T23" s="42">
        <v>60</v>
      </c>
      <c r="U23" s="42">
        <v>60</v>
      </c>
      <c r="V23" s="42">
        <v>60</v>
      </c>
      <c r="W23" s="42">
        <v>60</v>
      </c>
      <c r="X23" s="42">
        <v>60</v>
      </c>
      <c r="Y23" s="42">
        <v>60</v>
      </c>
      <c r="Z23" s="42">
        <v>60</v>
      </c>
      <c r="AA23" s="42">
        <v>60</v>
      </c>
      <c r="AB23" s="42">
        <v>60</v>
      </c>
      <c r="AC23" s="42">
        <v>60</v>
      </c>
      <c r="AD23" s="42">
        <v>60</v>
      </c>
      <c r="AE23" s="42">
        <v>60</v>
      </c>
      <c r="AF23" s="42">
        <v>60</v>
      </c>
      <c r="AG23" s="42">
        <v>60</v>
      </c>
      <c r="AH23" s="43">
        <v>60</v>
      </c>
      <c r="AI23" s="39" t="str">
        <f>Riskregister!Q25</f>
        <v>VHHI</v>
      </c>
      <c r="AJ23" s="40" t="str">
        <f>Riskregister!S25</f>
        <v>Current</v>
      </c>
    </row>
    <row r="24" spans="1:36" x14ac:dyDescent="0.3">
      <c r="A24" s="32"/>
      <c r="B24" s="32"/>
      <c r="C24" s="33"/>
      <c r="D24" s="34"/>
      <c r="E24" s="34"/>
      <c r="F24" s="35"/>
      <c r="G24" s="35"/>
      <c r="H24" s="35"/>
      <c r="I24" s="36"/>
      <c r="J24" s="41">
        <v>60</v>
      </c>
      <c r="K24" s="42">
        <v>60</v>
      </c>
      <c r="L24" s="42">
        <v>60</v>
      </c>
      <c r="M24" s="42">
        <v>60</v>
      </c>
      <c r="N24" s="42">
        <v>60</v>
      </c>
      <c r="O24" s="42">
        <v>60</v>
      </c>
      <c r="P24" s="42">
        <v>60</v>
      </c>
      <c r="Q24" s="42">
        <v>60</v>
      </c>
      <c r="R24" s="42">
        <v>60</v>
      </c>
      <c r="S24" s="42">
        <v>60</v>
      </c>
      <c r="T24" s="42">
        <v>60</v>
      </c>
      <c r="U24" s="42">
        <v>60</v>
      </c>
      <c r="V24" s="42">
        <v>60</v>
      </c>
      <c r="W24" s="42">
        <v>60</v>
      </c>
      <c r="X24" s="42">
        <v>60</v>
      </c>
      <c r="Y24" s="42">
        <v>60</v>
      </c>
      <c r="Z24" s="42">
        <v>60</v>
      </c>
      <c r="AA24" s="42">
        <v>60</v>
      </c>
      <c r="AB24" s="42">
        <v>60</v>
      </c>
      <c r="AC24" s="42">
        <v>60</v>
      </c>
      <c r="AD24" s="42">
        <v>60</v>
      </c>
      <c r="AE24" s="42">
        <v>60</v>
      </c>
      <c r="AF24" s="42">
        <v>60</v>
      </c>
      <c r="AG24" s="42">
        <v>60</v>
      </c>
      <c r="AH24" s="43">
        <v>60</v>
      </c>
      <c r="AI24" s="39" t="e">
        <f>Riskregister!#REF!</f>
        <v>#REF!</v>
      </c>
      <c r="AJ24" s="40" t="e">
        <f>Riskregister!#REF!</f>
        <v>#REF!</v>
      </c>
    </row>
    <row r="25" spans="1:36" x14ac:dyDescent="0.3">
      <c r="A25" s="32"/>
      <c r="B25" s="32"/>
      <c r="C25" s="33"/>
      <c r="D25" s="34"/>
      <c r="E25" s="34"/>
      <c r="F25" s="35"/>
      <c r="G25" s="35"/>
      <c r="H25" s="35"/>
      <c r="I25" s="36"/>
      <c r="J25" s="41">
        <v>60</v>
      </c>
      <c r="K25" s="42">
        <v>60</v>
      </c>
      <c r="L25" s="42">
        <v>60</v>
      </c>
      <c r="M25" s="42">
        <v>60</v>
      </c>
      <c r="N25" s="42">
        <v>60</v>
      </c>
      <c r="O25" s="42">
        <v>60</v>
      </c>
      <c r="P25" s="42">
        <v>60</v>
      </c>
      <c r="Q25" s="42">
        <v>60</v>
      </c>
      <c r="R25" s="42">
        <v>60</v>
      </c>
      <c r="S25" s="42">
        <v>60</v>
      </c>
      <c r="T25" s="42">
        <v>60</v>
      </c>
      <c r="U25" s="42">
        <v>60</v>
      </c>
      <c r="V25" s="42">
        <v>60</v>
      </c>
      <c r="W25" s="42">
        <v>60</v>
      </c>
      <c r="X25" s="42">
        <v>60</v>
      </c>
      <c r="Y25" s="42">
        <v>60</v>
      </c>
      <c r="Z25" s="42">
        <v>60</v>
      </c>
      <c r="AA25" s="42">
        <v>60</v>
      </c>
      <c r="AB25" s="42">
        <v>60</v>
      </c>
      <c r="AC25" s="42">
        <v>60</v>
      </c>
      <c r="AD25" s="42">
        <v>60</v>
      </c>
      <c r="AE25" s="42">
        <v>60</v>
      </c>
      <c r="AF25" s="42">
        <v>60</v>
      </c>
      <c r="AG25" s="42">
        <v>60</v>
      </c>
      <c r="AH25" s="43">
        <v>60</v>
      </c>
      <c r="AI25" s="39" t="str">
        <f>Riskregister!Q26</f>
        <v>VHHI</v>
      </c>
      <c r="AJ25" s="40" t="str">
        <f>Riskregister!S26</f>
        <v>Current</v>
      </c>
    </row>
    <row r="26" spans="1:36" x14ac:dyDescent="0.3">
      <c r="A26" s="32"/>
      <c r="B26" s="32"/>
      <c r="C26" s="33"/>
      <c r="D26" s="34"/>
      <c r="E26" s="34"/>
      <c r="F26" s="35"/>
      <c r="G26" s="35"/>
      <c r="H26" s="35"/>
      <c r="I26" s="36"/>
      <c r="J26" s="41">
        <v>60</v>
      </c>
      <c r="K26" s="42">
        <v>60</v>
      </c>
      <c r="L26" s="42">
        <v>60</v>
      </c>
      <c r="M26" s="42">
        <v>60</v>
      </c>
      <c r="N26" s="42">
        <v>60</v>
      </c>
      <c r="O26" s="42">
        <v>60</v>
      </c>
      <c r="P26" s="42">
        <v>60</v>
      </c>
      <c r="Q26" s="42">
        <v>60</v>
      </c>
      <c r="R26" s="42">
        <v>60</v>
      </c>
      <c r="S26" s="42">
        <v>60</v>
      </c>
      <c r="T26" s="42">
        <v>60</v>
      </c>
      <c r="U26" s="42">
        <v>60</v>
      </c>
      <c r="V26" s="42">
        <v>60</v>
      </c>
      <c r="W26" s="42">
        <v>60</v>
      </c>
      <c r="X26" s="42">
        <v>60</v>
      </c>
      <c r="Y26" s="42">
        <v>60</v>
      </c>
      <c r="Z26" s="42">
        <v>60</v>
      </c>
      <c r="AA26" s="42">
        <v>60</v>
      </c>
      <c r="AB26" s="42">
        <v>60</v>
      </c>
      <c r="AC26" s="42">
        <v>60</v>
      </c>
      <c r="AD26" s="42">
        <v>60</v>
      </c>
      <c r="AE26" s="42">
        <v>60</v>
      </c>
      <c r="AF26" s="42">
        <v>60</v>
      </c>
      <c r="AG26" s="42">
        <v>60</v>
      </c>
      <c r="AH26" s="43">
        <v>60</v>
      </c>
      <c r="AI26" s="39" t="str">
        <f>Riskregister!Q28</f>
        <v>VHHI</v>
      </c>
      <c r="AJ26" s="40" t="str">
        <f>Riskregister!S28</f>
        <v>Current</v>
      </c>
    </row>
    <row r="27" spans="1:36" x14ac:dyDescent="0.3">
      <c r="A27" s="32"/>
      <c r="B27" s="32"/>
      <c r="C27" s="33"/>
      <c r="D27" s="34"/>
      <c r="E27" s="34"/>
      <c r="F27" s="35"/>
      <c r="G27" s="35"/>
      <c r="H27" s="35"/>
      <c r="I27" s="36"/>
      <c r="J27" s="41">
        <v>60</v>
      </c>
      <c r="K27" s="42">
        <v>60</v>
      </c>
      <c r="L27" s="42">
        <v>60</v>
      </c>
      <c r="M27" s="42">
        <v>60</v>
      </c>
      <c r="N27" s="42">
        <v>60</v>
      </c>
      <c r="O27" s="42">
        <v>60</v>
      </c>
      <c r="P27" s="42">
        <v>60</v>
      </c>
      <c r="Q27" s="42">
        <v>60</v>
      </c>
      <c r="R27" s="42">
        <v>60</v>
      </c>
      <c r="S27" s="42">
        <v>60</v>
      </c>
      <c r="T27" s="42">
        <v>60</v>
      </c>
      <c r="U27" s="42">
        <v>60</v>
      </c>
      <c r="V27" s="42">
        <v>60</v>
      </c>
      <c r="W27" s="42">
        <v>60</v>
      </c>
      <c r="X27" s="42">
        <v>60</v>
      </c>
      <c r="Y27" s="42">
        <v>60</v>
      </c>
      <c r="Z27" s="42">
        <v>60</v>
      </c>
      <c r="AA27" s="42">
        <v>60</v>
      </c>
      <c r="AB27" s="42">
        <v>60</v>
      </c>
      <c r="AC27" s="42">
        <v>60</v>
      </c>
      <c r="AD27" s="42">
        <v>60</v>
      </c>
      <c r="AE27" s="42">
        <v>60</v>
      </c>
      <c r="AF27" s="42">
        <v>60</v>
      </c>
      <c r="AG27" s="42">
        <v>60</v>
      </c>
      <c r="AH27" s="43">
        <v>60</v>
      </c>
      <c r="AI27" s="39" t="e">
        <f>Riskregister!#REF!</f>
        <v>#REF!</v>
      </c>
      <c r="AJ27" s="40" t="e">
        <f>Riskregister!#REF!</f>
        <v>#REF!</v>
      </c>
    </row>
    <row r="28" spans="1:36" x14ac:dyDescent="0.3">
      <c r="A28" s="32"/>
      <c r="B28" s="32"/>
      <c r="C28" s="33"/>
      <c r="D28" s="34"/>
      <c r="E28" s="34"/>
      <c r="F28" s="35"/>
      <c r="G28" s="35"/>
      <c r="H28" s="35"/>
      <c r="I28" s="36"/>
      <c r="J28" s="41">
        <v>60</v>
      </c>
      <c r="K28" s="42">
        <v>60</v>
      </c>
      <c r="L28" s="42">
        <v>60</v>
      </c>
      <c r="M28" s="42">
        <v>60</v>
      </c>
      <c r="N28" s="42">
        <v>60</v>
      </c>
      <c r="O28" s="42">
        <v>60</v>
      </c>
      <c r="P28" s="42">
        <v>60</v>
      </c>
      <c r="Q28" s="42">
        <v>60</v>
      </c>
      <c r="R28" s="42">
        <v>60</v>
      </c>
      <c r="S28" s="42">
        <v>60</v>
      </c>
      <c r="T28" s="42">
        <v>60</v>
      </c>
      <c r="U28" s="42">
        <v>60</v>
      </c>
      <c r="V28" s="42">
        <v>60</v>
      </c>
      <c r="W28" s="42">
        <v>60</v>
      </c>
      <c r="X28" s="42">
        <v>60</v>
      </c>
      <c r="Y28" s="42">
        <v>60</v>
      </c>
      <c r="Z28" s="42">
        <v>60</v>
      </c>
      <c r="AA28" s="42">
        <v>60</v>
      </c>
      <c r="AB28" s="42">
        <v>60</v>
      </c>
      <c r="AC28" s="42">
        <v>60</v>
      </c>
      <c r="AD28" s="42">
        <v>60</v>
      </c>
      <c r="AE28" s="42">
        <v>60</v>
      </c>
      <c r="AF28" s="42">
        <v>60</v>
      </c>
      <c r="AG28" s="42">
        <v>60</v>
      </c>
      <c r="AH28" s="43">
        <v>60</v>
      </c>
      <c r="AI28" s="39" t="e">
        <f>Riskregister!#REF!</f>
        <v>#REF!</v>
      </c>
      <c r="AJ28" s="40" t="e">
        <f>Riskregister!#REF!</f>
        <v>#REF!</v>
      </c>
    </row>
    <row r="29" spans="1:36" x14ac:dyDescent="0.3">
      <c r="A29" s="32"/>
      <c r="B29" s="32"/>
      <c r="C29" s="33"/>
      <c r="D29" s="34"/>
      <c r="E29" s="34"/>
      <c r="F29" s="35"/>
      <c r="G29" s="35"/>
      <c r="H29" s="35"/>
      <c r="I29" s="36"/>
      <c r="J29" s="41">
        <v>60</v>
      </c>
      <c r="K29" s="42">
        <v>60</v>
      </c>
      <c r="L29" s="42">
        <v>60</v>
      </c>
      <c r="M29" s="42">
        <v>60</v>
      </c>
      <c r="N29" s="42">
        <v>60</v>
      </c>
      <c r="O29" s="42">
        <v>60</v>
      </c>
      <c r="P29" s="42">
        <v>60</v>
      </c>
      <c r="Q29" s="42">
        <v>60</v>
      </c>
      <c r="R29" s="42">
        <v>60</v>
      </c>
      <c r="S29" s="42">
        <v>60</v>
      </c>
      <c r="T29" s="42">
        <v>60</v>
      </c>
      <c r="U29" s="42">
        <v>60</v>
      </c>
      <c r="V29" s="42">
        <v>60</v>
      </c>
      <c r="W29" s="42">
        <v>60</v>
      </c>
      <c r="X29" s="42">
        <v>60</v>
      </c>
      <c r="Y29" s="42">
        <v>60</v>
      </c>
      <c r="Z29" s="42">
        <v>60</v>
      </c>
      <c r="AA29" s="42">
        <v>60</v>
      </c>
      <c r="AB29" s="42">
        <v>60</v>
      </c>
      <c r="AC29" s="42">
        <v>60</v>
      </c>
      <c r="AD29" s="42">
        <v>60</v>
      </c>
      <c r="AE29" s="42">
        <v>60</v>
      </c>
      <c r="AF29" s="42">
        <v>60</v>
      </c>
      <c r="AG29" s="42">
        <v>60</v>
      </c>
      <c r="AH29" s="43">
        <v>60</v>
      </c>
      <c r="AI29" s="39" t="e">
        <f>Riskregister!#REF!</f>
        <v>#REF!</v>
      </c>
      <c r="AJ29" s="40" t="e">
        <f>Riskregister!#REF!</f>
        <v>#REF!</v>
      </c>
    </row>
    <row r="30" spans="1:36" x14ac:dyDescent="0.3">
      <c r="A30" s="32"/>
      <c r="B30" s="32"/>
      <c r="C30" s="33"/>
      <c r="D30" s="34"/>
      <c r="E30" s="34"/>
      <c r="F30" s="35"/>
      <c r="G30" s="35"/>
      <c r="H30" s="35"/>
      <c r="I30" s="36"/>
      <c r="J30" s="41">
        <v>60</v>
      </c>
      <c r="K30" s="42">
        <v>60</v>
      </c>
      <c r="L30" s="42">
        <v>60</v>
      </c>
      <c r="M30" s="42">
        <v>60</v>
      </c>
      <c r="N30" s="42">
        <v>60</v>
      </c>
      <c r="O30" s="42">
        <v>60</v>
      </c>
      <c r="P30" s="42">
        <v>60</v>
      </c>
      <c r="Q30" s="42">
        <v>60</v>
      </c>
      <c r="R30" s="42">
        <v>60</v>
      </c>
      <c r="S30" s="42">
        <v>60</v>
      </c>
      <c r="T30" s="42">
        <v>60</v>
      </c>
      <c r="U30" s="42">
        <v>60</v>
      </c>
      <c r="V30" s="42">
        <v>60</v>
      </c>
      <c r="W30" s="42">
        <v>60</v>
      </c>
      <c r="X30" s="42">
        <v>60</v>
      </c>
      <c r="Y30" s="42">
        <v>60</v>
      </c>
      <c r="Z30" s="42">
        <v>60</v>
      </c>
      <c r="AA30" s="42">
        <v>60</v>
      </c>
      <c r="AB30" s="42">
        <v>60</v>
      </c>
      <c r="AC30" s="42">
        <v>60</v>
      </c>
      <c r="AD30" s="42">
        <v>60</v>
      </c>
      <c r="AE30" s="42">
        <v>60</v>
      </c>
      <c r="AF30" s="42">
        <v>60</v>
      </c>
      <c r="AG30" s="42">
        <v>60</v>
      </c>
      <c r="AH30" s="43">
        <v>60</v>
      </c>
      <c r="AI30" s="39" t="e">
        <f>Riskregister!#REF!</f>
        <v>#REF!</v>
      </c>
      <c r="AJ30" s="40" t="e">
        <f>Riskregister!#REF!</f>
        <v>#REF!</v>
      </c>
    </row>
    <row r="31" spans="1:36" x14ac:dyDescent="0.3">
      <c r="A31" s="32"/>
      <c r="B31" s="32"/>
      <c r="C31" s="33"/>
      <c r="D31" s="34"/>
      <c r="E31" s="34"/>
      <c r="F31" s="35"/>
      <c r="G31" s="35"/>
      <c r="H31" s="35"/>
      <c r="I31" s="36"/>
      <c r="J31" s="41">
        <v>60</v>
      </c>
      <c r="K31" s="42">
        <v>60</v>
      </c>
      <c r="L31" s="42">
        <v>60</v>
      </c>
      <c r="M31" s="42">
        <v>60</v>
      </c>
      <c r="N31" s="42">
        <v>60</v>
      </c>
      <c r="O31" s="42">
        <v>60</v>
      </c>
      <c r="P31" s="42">
        <v>60</v>
      </c>
      <c r="Q31" s="42">
        <v>60</v>
      </c>
      <c r="R31" s="42">
        <v>60</v>
      </c>
      <c r="S31" s="42">
        <v>60</v>
      </c>
      <c r="T31" s="42">
        <v>60</v>
      </c>
      <c r="U31" s="42">
        <v>60</v>
      </c>
      <c r="V31" s="42">
        <v>60</v>
      </c>
      <c r="W31" s="42">
        <v>60</v>
      </c>
      <c r="X31" s="42">
        <v>60</v>
      </c>
      <c r="Y31" s="42">
        <v>60</v>
      </c>
      <c r="Z31" s="42">
        <v>60</v>
      </c>
      <c r="AA31" s="42">
        <v>60</v>
      </c>
      <c r="AB31" s="42">
        <v>60</v>
      </c>
      <c r="AC31" s="42">
        <v>60</v>
      </c>
      <c r="AD31" s="42">
        <v>60</v>
      </c>
      <c r="AE31" s="42">
        <v>60</v>
      </c>
      <c r="AF31" s="42">
        <v>60</v>
      </c>
      <c r="AG31" s="42">
        <v>60</v>
      </c>
      <c r="AH31" s="43">
        <v>60</v>
      </c>
      <c r="AI31" s="39" t="e">
        <f>Riskregister!#REF!</f>
        <v>#REF!</v>
      </c>
      <c r="AJ31" s="40" t="e">
        <f>Riskregister!#REF!</f>
        <v>#REF!</v>
      </c>
    </row>
    <row r="32" spans="1:36" x14ac:dyDescent="0.3">
      <c r="A32" s="32"/>
      <c r="B32" s="32"/>
      <c r="C32" s="33"/>
      <c r="D32" s="34"/>
      <c r="E32" s="34"/>
      <c r="F32" s="35"/>
      <c r="G32" s="35"/>
      <c r="H32" s="35"/>
      <c r="I32" s="36"/>
      <c r="J32" s="41">
        <v>60</v>
      </c>
      <c r="K32" s="42">
        <v>60</v>
      </c>
      <c r="L32" s="42">
        <v>60</v>
      </c>
      <c r="M32" s="42">
        <v>60</v>
      </c>
      <c r="N32" s="42">
        <v>60</v>
      </c>
      <c r="O32" s="42">
        <v>60</v>
      </c>
      <c r="P32" s="42">
        <v>60</v>
      </c>
      <c r="Q32" s="42">
        <v>60</v>
      </c>
      <c r="R32" s="42">
        <v>60</v>
      </c>
      <c r="S32" s="42">
        <v>60</v>
      </c>
      <c r="T32" s="42">
        <v>60</v>
      </c>
      <c r="U32" s="42">
        <v>60</v>
      </c>
      <c r="V32" s="42">
        <v>60</v>
      </c>
      <c r="W32" s="42">
        <v>60</v>
      </c>
      <c r="X32" s="42">
        <v>60</v>
      </c>
      <c r="Y32" s="42">
        <v>60</v>
      </c>
      <c r="Z32" s="42">
        <v>60</v>
      </c>
      <c r="AA32" s="42">
        <v>60</v>
      </c>
      <c r="AB32" s="42">
        <v>60</v>
      </c>
      <c r="AC32" s="42">
        <v>60</v>
      </c>
      <c r="AD32" s="42">
        <v>60</v>
      </c>
      <c r="AE32" s="42">
        <v>60</v>
      </c>
      <c r="AF32" s="42">
        <v>60</v>
      </c>
      <c r="AG32" s="42">
        <v>60</v>
      </c>
      <c r="AH32" s="43">
        <v>60</v>
      </c>
      <c r="AI32" s="39" t="e">
        <f>Riskregister!#REF!</f>
        <v>#REF!</v>
      </c>
      <c r="AJ32" s="40" t="e">
        <f>Riskregister!#REF!</f>
        <v>#REF!</v>
      </c>
    </row>
    <row r="33" spans="1:36" x14ac:dyDescent="0.3">
      <c r="A33" s="32"/>
      <c r="B33" s="32"/>
      <c r="C33" s="33"/>
      <c r="D33" s="34"/>
      <c r="E33" s="34"/>
      <c r="F33" s="35"/>
      <c r="G33" s="35"/>
      <c r="H33" s="35"/>
      <c r="I33" s="36"/>
      <c r="J33" s="41">
        <v>60</v>
      </c>
      <c r="K33" s="42">
        <v>60</v>
      </c>
      <c r="L33" s="42">
        <v>60</v>
      </c>
      <c r="M33" s="42">
        <v>60</v>
      </c>
      <c r="N33" s="42">
        <v>60</v>
      </c>
      <c r="O33" s="42">
        <v>60</v>
      </c>
      <c r="P33" s="42">
        <v>60</v>
      </c>
      <c r="Q33" s="42">
        <v>60</v>
      </c>
      <c r="R33" s="42">
        <v>60</v>
      </c>
      <c r="S33" s="42">
        <v>60</v>
      </c>
      <c r="T33" s="42">
        <v>60</v>
      </c>
      <c r="U33" s="42">
        <v>60</v>
      </c>
      <c r="V33" s="42">
        <v>60</v>
      </c>
      <c r="W33" s="42">
        <v>60</v>
      </c>
      <c r="X33" s="42">
        <v>60</v>
      </c>
      <c r="Y33" s="42">
        <v>60</v>
      </c>
      <c r="Z33" s="42">
        <v>60</v>
      </c>
      <c r="AA33" s="42">
        <v>60</v>
      </c>
      <c r="AB33" s="42">
        <v>60</v>
      </c>
      <c r="AC33" s="42">
        <v>60</v>
      </c>
      <c r="AD33" s="42">
        <v>60</v>
      </c>
      <c r="AE33" s="42">
        <v>60</v>
      </c>
      <c r="AF33" s="42">
        <v>60</v>
      </c>
      <c r="AG33" s="42">
        <v>60</v>
      </c>
      <c r="AH33" s="43">
        <v>60</v>
      </c>
      <c r="AI33" s="39" t="e">
        <f>Riskregister!#REF!</f>
        <v>#REF!</v>
      </c>
      <c r="AJ33" s="40" t="e">
        <f>Riskregister!#REF!</f>
        <v>#REF!</v>
      </c>
    </row>
    <row r="34" spans="1:36" x14ac:dyDescent="0.3">
      <c r="A34" s="32"/>
      <c r="B34" s="32"/>
      <c r="C34" s="33"/>
      <c r="D34" s="34"/>
      <c r="E34" s="34"/>
      <c r="F34" s="35"/>
      <c r="G34" s="35"/>
      <c r="H34" s="35"/>
      <c r="I34" s="36"/>
      <c r="J34" s="41">
        <v>60</v>
      </c>
      <c r="K34" s="42">
        <v>60</v>
      </c>
      <c r="L34" s="42">
        <v>60</v>
      </c>
      <c r="M34" s="42">
        <v>60</v>
      </c>
      <c r="N34" s="42">
        <v>60</v>
      </c>
      <c r="O34" s="42">
        <v>60</v>
      </c>
      <c r="P34" s="42">
        <v>60</v>
      </c>
      <c r="Q34" s="42">
        <v>60</v>
      </c>
      <c r="R34" s="42">
        <v>60</v>
      </c>
      <c r="S34" s="42">
        <v>60</v>
      </c>
      <c r="T34" s="42">
        <v>60</v>
      </c>
      <c r="U34" s="42">
        <v>60</v>
      </c>
      <c r="V34" s="42">
        <v>60</v>
      </c>
      <c r="W34" s="42">
        <v>60</v>
      </c>
      <c r="X34" s="42">
        <v>60</v>
      </c>
      <c r="Y34" s="42">
        <v>60</v>
      </c>
      <c r="Z34" s="42">
        <v>60</v>
      </c>
      <c r="AA34" s="42">
        <v>60</v>
      </c>
      <c r="AB34" s="42">
        <v>60</v>
      </c>
      <c r="AC34" s="42">
        <v>60</v>
      </c>
      <c r="AD34" s="42">
        <v>60</v>
      </c>
      <c r="AE34" s="42">
        <v>60</v>
      </c>
      <c r="AF34" s="42">
        <v>60</v>
      </c>
      <c r="AG34" s="42">
        <v>60</v>
      </c>
      <c r="AH34" s="43">
        <v>60</v>
      </c>
      <c r="AI34" s="39" t="e">
        <f>Riskregister!#REF!</f>
        <v>#REF!</v>
      </c>
      <c r="AJ34" s="40" t="e">
        <f>Riskregister!#REF!</f>
        <v>#REF!</v>
      </c>
    </row>
    <row r="35" spans="1:36" x14ac:dyDescent="0.3">
      <c r="A35" s="32"/>
      <c r="B35" s="32"/>
      <c r="C35" s="33"/>
      <c r="D35" s="34"/>
      <c r="E35" s="34"/>
      <c r="F35" s="35"/>
      <c r="G35" s="35"/>
      <c r="H35" s="35"/>
      <c r="I35" s="36"/>
      <c r="J35" s="41">
        <v>60</v>
      </c>
      <c r="K35" s="42">
        <v>60</v>
      </c>
      <c r="L35" s="42">
        <v>60</v>
      </c>
      <c r="M35" s="42">
        <v>60</v>
      </c>
      <c r="N35" s="42">
        <v>60</v>
      </c>
      <c r="O35" s="42">
        <v>60</v>
      </c>
      <c r="P35" s="42">
        <v>60</v>
      </c>
      <c r="Q35" s="42">
        <v>60</v>
      </c>
      <c r="R35" s="42">
        <v>60</v>
      </c>
      <c r="S35" s="42">
        <v>60</v>
      </c>
      <c r="T35" s="42">
        <v>60</v>
      </c>
      <c r="U35" s="42">
        <v>60</v>
      </c>
      <c r="V35" s="42">
        <v>60</v>
      </c>
      <c r="W35" s="42">
        <v>60</v>
      </c>
      <c r="X35" s="42">
        <v>60</v>
      </c>
      <c r="Y35" s="42">
        <v>60</v>
      </c>
      <c r="Z35" s="42">
        <v>60</v>
      </c>
      <c r="AA35" s="42">
        <v>60</v>
      </c>
      <c r="AB35" s="42">
        <v>60</v>
      </c>
      <c r="AC35" s="42">
        <v>60</v>
      </c>
      <c r="AD35" s="42">
        <v>60</v>
      </c>
      <c r="AE35" s="42">
        <v>60</v>
      </c>
      <c r="AF35" s="42">
        <v>60</v>
      </c>
      <c r="AG35" s="42">
        <v>60</v>
      </c>
      <c r="AH35" s="43">
        <v>60</v>
      </c>
      <c r="AI35" s="39" t="e">
        <f>Riskregister!#REF!</f>
        <v>#REF!</v>
      </c>
      <c r="AJ35" s="40" t="e">
        <f>Riskregister!#REF!</f>
        <v>#REF!</v>
      </c>
    </row>
    <row r="36" spans="1:36" x14ac:dyDescent="0.3">
      <c r="A36" s="32"/>
      <c r="B36" s="32"/>
      <c r="C36" s="33"/>
      <c r="D36" s="34"/>
      <c r="E36" s="34"/>
      <c r="F36" s="35"/>
      <c r="G36" s="35"/>
      <c r="H36" s="35"/>
      <c r="I36" s="36"/>
      <c r="J36" s="41">
        <v>60</v>
      </c>
      <c r="K36" s="42">
        <v>60</v>
      </c>
      <c r="L36" s="42">
        <v>60</v>
      </c>
      <c r="M36" s="42">
        <v>60</v>
      </c>
      <c r="N36" s="42">
        <v>60</v>
      </c>
      <c r="O36" s="42">
        <v>60</v>
      </c>
      <c r="P36" s="42">
        <v>60</v>
      </c>
      <c r="Q36" s="42">
        <v>60</v>
      </c>
      <c r="R36" s="42">
        <v>60</v>
      </c>
      <c r="S36" s="42">
        <v>60</v>
      </c>
      <c r="T36" s="42">
        <v>60</v>
      </c>
      <c r="U36" s="42">
        <v>60</v>
      </c>
      <c r="V36" s="42">
        <v>60</v>
      </c>
      <c r="W36" s="42">
        <v>60</v>
      </c>
      <c r="X36" s="42">
        <v>60</v>
      </c>
      <c r="Y36" s="42">
        <v>60</v>
      </c>
      <c r="Z36" s="42">
        <v>60</v>
      </c>
      <c r="AA36" s="42">
        <v>60</v>
      </c>
      <c r="AB36" s="42">
        <v>60</v>
      </c>
      <c r="AC36" s="42">
        <v>60</v>
      </c>
      <c r="AD36" s="42">
        <v>60</v>
      </c>
      <c r="AE36" s="42">
        <v>60</v>
      </c>
      <c r="AF36" s="42">
        <v>60</v>
      </c>
      <c r="AG36" s="42">
        <v>60</v>
      </c>
      <c r="AH36" s="43">
        <v>60</v>
      </c>
      <c r="AI36" s="39" t="e">
        <f>Riskregister!#REF!</f>
        <v>#REF!</v>
      </c>
      <c r="AJ36" s="40" t="e">
        <f>Riskregister!#REF!</f>
        <v>#REF!</v>
      </c>
    </row>
    <row r="37" spans="1:36" x14ac:dyDescent="0.3">
      <c r="A37" s="32"/>
      <c r="B37" s="32"/>
      <c r="C37" s="33"/>
      <c r="D37" s="34"/>
      <c r="E37" s="34"/>
      <c r="F37" s="35"/>
      <c r="G37" s="35"/>
      <c r="H37" s="35"/>
      <c r="I37" s="36"/>
      <c r="J37" s="41">
        <v>60</v>
      </c>
      <c r="K37" s="42">
        <v>60</v>
      </c>
      <c r="L37" s="42">
        <v>60</v>
      </c>
      <c r="M37" s="42">
        <v>60</v>
      </c>
      <c r="N37" s="42">
        <v>60</v>
      </c>
      <c r="O37" s="42">
        <v>60</v>
      </c>
      <c r="P37" s="42">
        <v>60</v>
      </c>
      <c r="Q37" s="42">
        <v>60</v>
      </c>
      <c r="R37" s="42">
        <v>60</v>
      </c>
      <c r="S37" s="42">
        <v>60</v>
      </c>
      <c r="T37" s="42">
        <v>60</v>
      </c>
      <c r="U37" s="42">
        <v>60</v>
      </c>
      <c r="V37" s="42">
        <v>60</v>
      </c>
      <c r="W37" s="42">
        <v>60</v>
      </c>
      <c r="X37" s="42">
        <v>60</v>
      </c>
      <c r="Y37" s="42">
        <v>60</v>
      </c>
      <c r="Z37" s="42">
        <v>60</v>
      </c>
      <c r="AA37" s="42">
        <v>60</v>
      </c>
      <c r="AB37" s="42">
        <v>60</v>
      </c>
      <c r="AC37" s="42">
        <v>60</v>
      </c>
      <c r="AD37" s="42">
        <v>60</v>
      </c>
      <c r="AE37" s="42">
        <v>60</v>
      </c>
      <c r="AF37" s="42">
        <v>60</v>
      </c>
      <c r="AG37" s="42">
        <v>60</v>
      </c>
      <c r="AH37" s="43">
        <v>60</v>
      </c>
      <c r="AI37" s="39" t="e">
        <f>Riskregister!#REF!</f>
        <v>#REF!</v>
      </c>
      <c r="AJ37" s="40" t="e">
        <f>Riskregister!#REF!</f>
        <v>#REF!</v>
      </c>
    </row>
    <row r="38" spans="1:36" x14ac:dyDescent="0.3">
      <c r="A38" s="32"/>
      <c r="B38" s="32"/>
      <c r="C38" s="33"/>
      <c r="D38" s="34"/>
      <c r="E38" s="34"/>
      <c r="F38" s="35"/>
      <c r="G38" s="35"/>
      <c r="H38" s="35"/>
      <c r="I38" s="36"/>
      <c r="J38" s="41">
        <v>60</v>
      </c>
      <c r="K38" s="42">
        <v>60</v>
      </c>
      <c r="L38" s="42">
        <v>60</v>
      </c>
      <c r="M38" s="42">
        <v>60</v>
      </c>
      <c r="N38" s="42">
        <v>60</v>
      </c>
      <c r="O38" s="42">
        <v>60</v>
      </c>
      <c r="P38" s="42">
        <v>60</v>
      </c>
      <c r="Q38" s="42">
        <v>60</v>
      </c>
      <c r="R38" s="42">
        <v>60</v>
      </c>
      <c r="S38" s="42">
        <v>60</v>
      </c>
      <c r="T38" s="42">
        <v>60</v>
      </c>
      <c r="U38" s="42">
        <v>60</v>
      </c>
      <c r="V38" s="42">
        <v>60</v>
      </c>
      <c r="W38" s="42">
        <v>60</v>
      </c>
      <c r="X38" s="42">
        <v>60</v>
      </c>
      <c r="Y38" s="42">
        <v>60</v>
      </c>
      <c r="Z38" s="42">
        <v>60</v>
      </c>
      <c r="AA38" s="42">
        <v>60</v>
      </c>
      <c r="AB38" s="42">
        <v>60</v>
      </c>
      <c r="AC38" s="42">
        <v>60</v>
      </c>
      <c r="AD38" s="42">
        <v>60</v>
      </c>
      <c r="AE38" s="42">
        <v>60</v>
      </c>
      <c r="AF38" s="42">
        <v>60</v>
      </c>
      <c r="AG38" s="42">
        <v>60</v>
      </c>
      <c r="AH38" s="43">
        <v>60</v>
      </c>
      <c r="AI38" s="39" t="e">
        <f>Riskregister!#REF!</f>
        <v>#REF!</v>
      </c>
      <c r="AJ38" s="40" t="e">
        <f>Riskregister!#REF!</f>
        <v>#REF!</v>
      </c>
    </row>
    <row r="39" spans="1:36" x14ac:dyDescent="0.3">
      <c r="A39" s="32"/>
      <c r="B39" s="32"/>
      <c r="C39" s="33"/>
      <c r="D39" s="34"/>
      <c r="E39" s="34"/>
      <c r="F39" s="35"/>
      <c r="G39" s="35"/>
      <c r="H39" s="35"/>
      <c r="I39" s="36"/>
      <c r="J39" s="41">
        <v>60</v>
      </c>
      <c r="K39" s="42">
        <v>60</v>
      </c>
      <c r="L39" s="42">
        <v>60</v>
      </c>
      <c r="M39" s="42">
        <v>60</v>
      </c>
      <c r="N39" s="42">
        <v>60</v>
      </c>
      <c r="O39" s="42">
        <v>60</v>
      </c>
      <c r="P39" s="42">
        <v>60</v>
      </c>
      <c r="Q39" s="42">
        <v>60</v>
      </c>
      <c r="R39" s="42">
        <v>60</v>
      </c>
      <c r="S39" s="42">
        <v>60</v>
      </c>
      <c r="T39" s="42">
        <v>60</v>
      </c>
      <c r="U39" s="42">
        <v>60</v>
      </c>
      <c r="V39" s="42">
        <v>60</v>
      </c>
      <c r="W39" s="42">
        <v>60</v>
      </c>
      <c r="X39" s="42">
        <v>60</v>
      </c>
      <c r="Y39" s="42">
        <v>60</v>
      </c>
      <c r="Z39" s="42">
        <v>60</v>
      </c>
      <c r="AA39" s="42">
        <v>60</v>
      </c>
      <c r="AB39" s="42">
        <v>60</v>
      </c>
      <c r="AC39" s="42">
        <v>60</v>
      </c>
      <c r="AD39" s="42">
        <v>60</v>
      </c>
      <c r="AE39" s="42">
        <v>60</v>
      </c>
      <c r="AF39" s="42">
        <v>60</v>
      </c>
      <c r="AG39" s="42">
        <v>60</v>
      </c>
      <c r="AH39" s="43">
        <v>60</v>
      </c>
      <c r="AI39" s="39" t="e">
        <f>Riskregister!#REF!</f>
        <v>#REF!</v>
      </c>
      <c r="AJ39" s="40" t="e">
        <f>Riskregister!#REF!</f>
        <v>#REF!</v>
      </c>
    </row>
    <row r="40" spans="1:36" x14ac:dyDescent="0.3">
      <c r="A40" s="32"/>
      <c r="B40" s="32"/>
      <c r="C40" s="33"/>
      <c r="D40" s="34"/>
      <c r="E40" s="34"/>
      <c r="F40" s="35"/>
      <c r="G40" s="35"/>
      <c r="H40" s="35"/>
      <c r="I40" s="36"/>
      <c r="J40" s="41">
        <v>60</v>
      </c>
      <c r="K40" s="42">
        <v>60</v>
      </c>
      <c r="L40" s="42">
        <v>60</v>
      </c>
      <c r="M40" s="42">
        <v>60</v>
      </c>
      <c r="N40" s="42">
        <v>60</v>
      </c>
      <c r="O40" s="42">
        <v>60</v>
      </c>
      <c r="P40" s="42">
        <v>60</v>
      </c>
      <c r="Q40" s="42">
        <v>60</v>
      </c>
      <c r="R40" s="42">
        <v>60</v>
      </c>
      <c r="S40" s="42">
        <v>60</v>
      </c>
      <c r="T40" s="42">
        <v>60</v>
      </c>
      <c r="U40" s="42">
        <v>60</v>
      </c>
      <c r="V40" s="42">
        <v>60</v>
      </c>
      <c r="W40" s="42">
        <v>60</v>
      </c>
      <c r="X40" s="42">
        <v>60</v>
      </c>
      <c r="Y40" s="42">
        <v>60</v>
      </c>
      <c r="Z40" s="42">
        <v>60</v>
      </c>
      <c r="AA40" s="42">
        <v>60</v>
      </c>
      <c r="AB40" s="42">
        <v>60</v>
      </c>
      <c r="AC40" s="42">
        <v>60</v>
      </c>
      <c r="AD40" s="42">
        <v>60</v>
      </c>
      <c r="AE40" s="42">
        <v>60</v>
      </c>
      <c r="AF40" s="42">
        <v>60</v>
      </c>
      <c r="AG40" s="42">
        <v>60</v>
      </c>
      <c r="AH40" s="43">
        <v>60</v>
      </c>
      <c r="AI40" s="39" t="e">
        <f>Riskregister!#REF!</f>
        <v>#REF!</v>
      </c>
      <c r="AJ40" s="40" t="e">
        <f>Riskregister!#REF!</f>
        <v>#REF!</v>
      </c>
    </row>
    <row r="41" spans="1:36" x14ac:dyDescent="0.3">
      <c r="A41" s="32"/>
      <c r="B41" s="32"/>
      <c r="C41" s="33"/>
      <c r="D41" s="34"/>
      <c r="E41" s="34"/>
      <c r="F41" s="35"/>
      <c r="G41" s="35"/>
      <c r="H41" s="35"/>
      <c r="I41" s="36"/>
      <c r="J41" s="41">
        <v>60</v>
      </c>
      <c r="K41" s="42">
        <v>60</v>
      </c>
      <c r="L41" s="42">
        <v>60</v>
      </c>
      <c r="M41" s="42">
        <v>60</v>
      </c>
      <c r="N41" s="42">
        <v>60</v>
      </c>
      <c r="O41" s="42">
        <v>60</v>
      </c>
      <c r="P41" s="42">
        <v>60</v>
      </c>
      <c r="Q41" s="42">
        <v>60</v>
      </c>
      <c r="R41" s="42">
        <v>60</v>
      </c>
      <c r="S41" s="42">
        <v>60</v>
      </c>
      <c r="T41" s="42">
        <v>60</v>
      </c>
      <c r="U41" s="42">
        <v>60</v>
      </c>
      <c r="V41" s="42">
        <v>60</v>
      </c>
      <c r="W41" s="42">
        <v>60</v>
      </c>
      <c r="X41" s="42">
        <v>60</v>
      </c>
      <c r="Y41" s="42">
        <v>60</v>
      </c>
      <c r="Z41" s="42">
        <v>60</v>
      </c>
      <c r="AA41" s="42">
        <v>60</v>
      </c>
      <c r="AB41" s="42">
        <v>60</v>
      </c>
      <c r="AC41" s="42">
        <v>60</v>
      </c>
      <c r="AD41" s="42">
        <v>60</v>
      </c>
      <c r="AE41" s="42">
        <v>60</v>
      </c>
      <c r="AF41" s="42">
        <v>60</v>
      </c>
      <c r="AG41" s="42">
        <v>60</v>
      </c>
      <c r="AH41" s="43">
        <v>60</v>
      </c>
      <c r="AI41" s="39" t="e">
        <f>Riskregister!#REF!</f>
        <v>#REF!</v>
      </c>
      <c r="AJ41" s="40" t="e">
        <f>Riskregister!#REF!</f>
        <v>#REF!</v>
      </c>
    </row>
    <row r="42" spans="1:36" x14ac:dyDescent="0.3">
      <c r="A42" s="32"/>
      <c r="B42" s="32"/>
      <c r="C42" s="33"/>
      <c r="D42" s="34"/>
      <c r="E42" s="34"/>
      <c r="F42" s="35"/>
      <c r="G42" s="35"/>
      <c r="H42" s="35"/>
      <c r="I42" s="36"/>
      <c r="J42" s="41">
        <v>60</v>
      </c>
      <c r="K42" s="42">
        <v>60</v>
      </c>
      <c r="L42" s="42">
        <v>60</v>
      </c>
      <c r="M42" s="42">
        <v>60</v>
      </c>
      <c r="N42" s="42">
        <v>60</v>
      </c>
      <c r="O42" s="42">
        <v>60</v>
      </c>
      <c r="P42" s="42">
        <v>60</v>
      </c>
      <c r="Q42" s="42">
        <v>60</v>
      </c>
      <c r="R42" s="42">
        <v>60</v>
      </c>
      <c r="S42" s="42">
        <v>60</v>
      </c>
      <c r="T42" s="42">
        <v>60</v>
      </c>
      <c r="U42" s="42">
        <v>60</v>
      </c>
      <c r="V42" s="42">
        <v>60</v>
      </c>
      <c r="W42" s="42">
        <v>60</v>
      </c>
      <c r="X42" s="42">
        <v>60</v>
      </c>
      <c r="Y42" s="42">
        <v>60</v>
      </c>
      <c r="Z42" s="42">
        <v>60</v>
      </c>
      <c r="AA42" s="42">
        <v>60</v>
      </c>
      <c r="AB42" s="42">
        <v>60</v>
      </c>
      <c r="AC42" s="42">
        <v>60</v>
      </c>
      <c r="AD42" s="42">
        <v>60</v>
      </c>
      <c r="AE42" s="42">
        <v>60</v>
      </c>
      <c r="AF42" s="42">
        <v>60</v>
      </c>
      <c r="AG42" s="42">
        <v>60</v>
      </c>
      <c r="AH42" s="43">
        <v>60</v>
      </c>
      <c r="AI42" s="39" t="e">
        <f>Riskregister!#REF!</f>
        <v>#REF!</v>
      </c>
      <c r="AJ42" s="40" t="e">
        <f>Riskregister!#REF!</f>
        <v>#REF!</v>
      </c>
    </row>
    <row r="43" spans="1:36" x14ac:dyDescent="0.3">
      <c r="A43" s="32"/>
      <c r="B43" s="32"/>
      <c r="C43" s="33"/>
      <c r="D43" s="34"/>
      <c r="E43" s="34"/>
      <c r="F43" s="35"/>
      <c r="G43" s="35"/>
      <c r="H43" s="35"/>
      <c r="I43" s="36"/>
      <c r="J43" s="41">
        <v>60</v>
      </c>
      <c r="K43" s="42">
        <v>60</v>
      </c>
      <c r="L43" s="42">
        <v>60</v>
      </c>
      <c r="M43" s="42">
        <v>60</v>
      </c>
      <c r="N43" s="42">
        <v>60</v>
      </c>
      <c r="O43" s="42">
        <v>60</v>
      </c>
      <c r="P43" s="42">
        <v>60</v>
      </c>
      <c r="Q43" s="42">
        <v>60</v>
      </c>
      <c r="R43" s="42">
        <v>60</v>
      </c>
      <c r="S43" s="42">
        <v>60</v>
      </c>
      <c r="T43" s="42">
        <v>60</v>
      </c>
      <c r="U43" s="42">
        <v>60</v>
      </c>
      <c r="V43" s="42">
        <v>60</v>
      </c>
      <c r="W43" s="42">
        <v>60</v>
      </c>
      <c r="X43" s="42">
        <v>60</v>
      </c>
      <c r="Y43" s="42">
        <v>60</v>
      </c>
      <c r="Z43" s="42">
        <v>60</v>
      </c>
      <c r="AA43" s="42">
        <v>60</v>
      </c>
      <c r="AB43" s="42">
        <v>60</v>
      </c>
      <c r="AC43" s="42">
        <v>60</v>
      </c>
      <c r="AD43" s="42">
        <v>60</v>
      </c>
      <c r="AE43" s="42">
        <v>60</v>
      </c>
      <c r="AF43" s="42">
        <v>60</v>
      </c>
      <c r="AG43" s="42">
        <v>60</v>
      </c>
      <c r="AH43" s="43">
        <v>60</v>
      </c>
      <c r="AI43" s="39" t="e">
        <f>Riskregister!#REF!</f>
        <v>#REF!</v>
      </c>
      <c r="AJ43" s="40" t="e">
        <f>Riskregister!#REF!</f>
        <v>#REF!</v>
      </c>
    </row>
    <row r="44" spans="1:36" x14ac:dyDescent="0.3">
      <c r="A44" s="32"/>
      <c r="B44" s="32"/>
      <c r="C44" s="33"/>
      <c r="D44" s="34"/>
      <c r="E44" s="34"/>
      <c r="F44" s="35"/>
      <c r="G44" s="35"/>
      <c r="H44" s="35"/>
      <c r="I44" s="36"/>
      <c r="J44" s="41">
        <v>60</v>
      </c>
      <c r="K44" s="42">
        <v>60</v>
      </c>
      <c r="L44" s="42">
        <v>60</v>
      </c>
      <c r="M44" s="42">
        <v>60</v>
      </c>
      <c r="N44" s="42">
        <v>60</v>
      </c>
      <c r="O44" s="42">
        <v>60</v>
      </c>
      <c r="P44" s="42">
        <v>60</v>
      </c>
      <c r="Q44" s="42">
        <v>60</v>
      </c>
      <c r="R44" s="42">
        <v>60</v>
      </c>
      <c r="S44" s="42">
        <v>60</v>
      </c>
      <c r="T44" s="42">
        <v>60</v>
      </c>
      <c r="U44" s="42">
        <v>60</v>
      </c>
      <c r="V44" s="42">
        <v>60</v>
      </c>
      <c r="W44" s="42">
        <v>60</v>
      </c>
      <c r="X44" s="42">
        <v>60</v>
      </c>
      <c r="Y44" s="42">
        <v>60</v>
      </c>
      <c r="Z44" s="42">
        <v>60</v>
      </c>
      <c r="AA44" s="42">
        <v>60</v>
      </c>
      <c r="AB44" s="42">
        <v>60</v>
      </c>
      <c r="AC44" s="42">
        <v>60</v>
      </c>
      <c r="AD44" s="42">
        <v>60</v>
      </c>
      <c r="AE44" s="42">
        <v>60</v>
      </c>
      <c r="AF44" s="42">
        <v>60</v>
      </c>
      <c r="AG44" s="42">
        <v>60</v>
      </c>
      <c r="AH44" s="43">
        <v>60</v>
      </c>
      <c r="AI44" s="39" t="e">
        <f>Riskregister!#REF!</f>
        <v>#REF!</v>
      </c>
      <c r="AJ44" s="40" t="e">
        <f>Riskregister!#REF!</f>
        <v>#REF!</v>
      </c>
    </row>
    <row r="45" spans="1:36" x14ac:dyDescent="0.3">
      <c r="A45" s="32" t="e">
        <f>Riskregister!#REF!</f>
        <v>#REF!</v>
      </c>
      <c r="B45" s="32" t="e">
        <f>Riskregister!#REF!</f>
        <v>#REF!</v>
      </c>
      <c r="C45" s="33" t="e">
        <f>Riskregister!#REF!</f>
        <v>#REF!</v>
      </c>
      <c r="D45" s="34" t="e">
        <f>Riskregister!#REF!</f>
        <v>#REF!</v>
      </c>
      <c r="E45" s="34" t="e">
        <f>Riskregister!#REF!</f>
        <v>#REF!</v>
      </c>
      <c r="F45" s="35"/>
      <c r="G45" s="35"/>
      <c r="H45" s="35"/>
      <c r="I45" s="36"/>
      <c r="J45" s="41">
        <v>60</v>
      </c>
      <c r="K45" s="42">
        <v>60</v>
      </c>
      <c r="L45" s="42">
        <v>60</v>
      </c>
      <c r="M45" s="42">
        <v>60</v>
      </c>
      <c r="N45" s="42">
        <v>60</v>
      </c>
      <c r="O45" s="42">
        <v>60</v>
      </c>
      <c r="P45" s="42">
        <v>60</v>
      </c>
      <c r="Q45" s="42">
        <v>60</v>
      </c>
      <c r="R45" s="42">
        <v>60</v>
      </c>
      <c r="S45" s="42">
        <v>60</v>
      </c>
      <c r="T45" s="42">
        <v>60</v>
      </c>
      <c r="U45" s="42">
        <v>60</v>
      </c>
      <c r="V45" s="42">
        <v>60</v>
      </c>
      <c r="W45" s="42">
        <v>60</v>
      </c>
      <c r="X45" s="42">
        <v>60</v>
      </c>
      <c r="Y45" s="42">
        <v>60</v>
      </c>
      <c r="Z45" s="42">
        <v>60</v>
      </c>
      <c r="AA45" s="42">
        <v>60</v>
      </c>
      <c r="AB45" s="42">
        <v>60</v>
      </c>
      <c r="AC45" s="42">
        <v>60</v>
      </c>
      <c r="AD45" s="42">
        <v>60</v>
      </c>
      <c r="AE45" s="42">
        <v>60</v>
      </c>
      <c r="AF45" s="42">
        <v>60</v>
      </c>
      <c r="AG45" s="42">
        <v>60</v>
      </c>
      <c r="AH45" s="43">
        <v>60</v>
      </c>
      <c r="AI45" s="39" t="e">
        <f>Riskregister!#REF!</f>
        <v>#REF!</v>
      </c>
      <c r="AJ45" s="40" t="e">
        <f>Riskregister!#REF!</f>
        <v>#REF!</v>
      </c>
    </row>
    <row r="46" spans="1:36" x14ac:dyDescent="0.3">
      <c r="A46" s="32" t="e">
        <f>Riskregister!#REF!</f>
        <v>#REF!</v>
      </c>
      <c r="B46" s="32" t="e">
        <f>Riskregister!#REF!</f>
        <v>#REF!</v>
      </c>
      <c r="C46" s="33" t="e">
        <f>Riskregister!#REF!</f>
        <v>#REF!</v>
      </c>
      <c r="D46" s="34" t="e">
        <f>Riskregister!#REF!</f>
        <v>#REF!</v>
      </c>
      <c r="E46" s="34" t="e">
        <f>Riskregister!#REF!</f>
        <v>#REF!</v>
      </c>
      <c r="F46" s="35"/>
      <c r="G46" s="35"/>
      <c r="H46" s="35"/>
      <c r="I46" s="36"/>
      <c r="J46" s="41">
        <v>60</v>
      </c>
      <c r="K46" s="42">
        <v>60</v>
      </c>
      <c r="L46" s="42">
        <v>60</v>
      </c>
      <c r="M46" s="42">
        <v>60</v>
      </c>
      <c r="N46" s="42">
        <v>60</v>
      </c>
      <c r="O46" s="42">
        <v>60</v>
      </c>
      <c r="P46" s="42">
        <v>60</v>
      </c>
      <c r="Q46" s="42">
        <v>60</v>
      </c>
      <c r="R46" s="42">
        <v>60</v>
      </c>
      <c r="S46" s="42">
        <v>60</v>
      </c>
      <c r="T46" s="42">
        <v>60</v>
      </c>
      <c r="U46" s="42">
        <v>60</v>
      </c>
      <c r="V46" s="42">
        <v>60</v>
      </c>
      <c r="W46" s="42">
        <v>60</v>
      </c>
      <c r="X46" s="42">
        <v>60</v>
      </c>
      <c r="Y46" s="42">
        <v>60</v>
      </c>
      <c r="Z46" s="42">
        <v>60</v>
      </c>
      <c r="AA46" s="42">
        <v>60</v>
      </c>
      <c r="AB46" s="42">
        <v>60</v>
      </c>
      <c r="AC46" s="42">
        <v>60</v>
      </c>
      <c r="AD46" s="42">
        <v>60</v>
      </c>
      <c r="AE46" s="42">
        <v>60</v>
      </c>
      <c r="AF46" s="42">
        <v>60</v>
      </c>
      <c r="AG46" s="42">
        <v>60</v>
      </c>
      <c r="AH46" s="43">
        <v>60</v>
      </c>
      <c r="AI46" s="39" t="e">
        <f>Riskregister!#REF!</f>
        <v>#REF!</v>
      </c>
      <c r="AJ46" s="40" t="e">
        <f>Riskregister!#REF!</f>
        <v>#REF!</v>
      </c>
    </row>
    <row r="47" spans="1:36" x14ac:dyDescent="0.3">
      <c r="A47" s="32" t="e">
        <f>Riskregister!#REF!</f>
        <v>#REF!</v>
      </c>
      <c r="B47" s="32" t="e">
        <f>Riskregister!#REF!</f>
        <v>#REF!</v>
      </c>
      <c r="C47" s="33" t="e">
        <f>Riskregister!#REF!</f>
        <v>#REF!</v>
      </c>
      <c r="D47" s="34" t="e">
        <f>Riskregister!#REF!</f>
        <v>#REF!</v>
      </c>
      <c r="E47" s="34" t="e">
        <f>Riskregister!#REF!</f>
        <v>#REF!</v>
      </c>
      <c r="F47" s="35"/>
      <c r="G47" s="35"/>
      <c r="H47" s="35"/>
      <c r="I47" s="36"/>
      <c r="J47" s="41">
        <v>60</v>
      </c>
      <c r="K47" s="42">
        <v>60</v>
      </c>
      <c r="L47" s="42">
        <v>60</v>
      </c>
      <c r="M47" s="42">
        <v>60</v>
      </c>
      <c r="N47" s="42">
        <v>60</v>
      </c>
      <c r="O47" s="42">
        <v>60</v>
      </c>
      <c r="P47" s="42">
        <v>60</v>
      </c>
      <c r="Q47" s="42">
        <v>60</v>
      </c>
      <c r="R47" s="42">
        <v>60</v>
      </c>
      <c r="S47" s="42">
        <v>60</v>
      </c>
      <c r="T47" s="42">
        <v>60</v>
      </c>
      <c r="U47" s="42">
        <v>60</v>
      </c>
      <c r="V47" s="42">
        <v>60</v>
      </c>
      <c r="W47" s="42">
        <v>60</v>
      </c>
      <c r="X47" s="42">
        <v>60</v>
      </c>
      <c r="Y47" s="42">
        <v>60</v>
      </c>
      <c r="Z47" s="42">
        <v>60</v>
      </c>
      <c r="AA47" s="42">
        <v>60</v>
      </c>
      <c r="AB47" s="42">
        <v>60</v>
      </c>
      <c r="AC47" s="42">
        <v>60</v>
      </c>
      <c r="AD47" s="42">
        <v>60</v>
      </c>
      <c r="AE47" s="42">
        <v>60</v>
      </c>
      <c r="AF47" s="42">
        <v>60</v>
      </c>
      <c r="AG47" s="42">
        <v>60</v>
      </c>
      <c r="AH47" s="43">
        <v>60</v>
      </c>
      <c r="AI47" s="39" t="e">
        <f>Riskregister!#REF!</f>
        <v>#REF!</v>
      </c>
      <c r="AJ47" s="40" t="e">
        <f>Riskregister!#REF!</f>
        <v>#REF!</v>
      </c>
    </row>
    <row r="48" spans="1:36" x14ac:dyDescent="0.3">
      <c r="A48" s="32" t="e">
        <f>Riskregister!#REF!</f>
        <v>#REF!</v>
      </c>
      <c r="B48" s="32" t="e">
        <f>Riskregister!#REF!</f>
        <v>#REF!</v>
      </c>
      <c r="C48" s="33" t="e">
        <f>Riskregister!#REF!</f>
        <v>#REF!</v>
      </c>
      <c r="D48" s="34" t="e">
        <f>Riskregister!#REF!</f>
        <v>#REF!</v>
      </c>
      <c r="E48" s="34" t="e">
        <f>Riskregister!#REF!</f>
        <v>#REF!</v>
      </c>
      <c r="F48" s="35"/>
      <c r="G48" s="35"/>
      <c r="H48" s="35"/>
      <c r="I48" s="36"/>
      <c r="J48" s="41">
        <v>60</v>
      </c>
      <c r="K48" s="42">
        <v>60</v>
      </c>
      <c r="L48" s="42">
        <v>60</v>
      </c>
      <c r="M48" s="42">
        <v>60</v>
      </c>
      <c r="N48" s="42">
        <v>60</v>
      </c>
      <c r="O48" s="42">
        <v>60</v>
      </c>
      <c r="P48" s="42">
        <v>60</v>
      </c>
      <c r="Q48" s="42">
        <v>60</v>
      </c>
      <c r="R48" s="42">
        <v>60</v>
      </c>
      <c r="S48" s="42">
        <v>60</v>
      </c>
      <c r="T48" s="42">
        <v>60</v>
      </c>
      <c r="U48" s="42">
        <v>60</v>
      </c>
      <c r="V48" s="42">
        <v>60</v>
      </c>
      <c r="W48" s="42">
        <v>60</v>
      </c>
      <c r="X48" s="42">
        <v>60</v>
      </c>
      <c r="Y48" s="42">
        <v>60</v>
      </c>
      <c r="Z48" s="42">
        <v>60</v>
      </c>
      <c r="AA48" s="42">
        <v>60</v>
      </c>
      <c r="AB48" s="42">
        <v>60</v>
      </c>
      <c r="AC48" s="42">
        <v>60</v>
      </c>
      <c r="AD48" s="42">
        <v>60</v>
      </c>
      <c r="AE48" s="42">
        <v>60</v>
      </c>
      <c r="AF48" s="42">
        <v>60</v>
      </c>
      <c r="AG48" s="42">
        <v>60</v>
      </c>
      <c r="AH48" s="43">
        <v>60</v>
      </c>
      <c r="AI48" s="39" t="e">
        <f>Riskregister!#REF!</f>
        <v>#REF!</v>
      </c>
      <c r="AJ48" s="40" t="e">
        <f>Riskregister!#REF!</f>
        <v>#REF!</v>
      </c>
    </row>
    <row r="49" spans="1:36" x14ac:dyDescent="0.3">
      <c r="A49" s="32" t="e">
        <f>Riskregister!#REF!</f>
        <v>#REF!</v>
      </c>
      <c r="B49" s="32" t="e">
        <f>Riskregister!#REF!</f>
        <v>#REF!</v>
      </c>
      <c r="C49" s="33" t="e">
        <f>Riskregister!#REF!</f>
        <v>#REF!</v>
      </c>
      <c r="D49" s="34" t="e">
        <f>Riskregister!#REF!</f>
        <v>#REF!</v>
      </c>
      <c r="E49" s="34" t="e">
        <f>Riskregister!#REF!</f>
        <v>#REF!</v>
      </c>
      <c r="F49" s="35"/>
      <c r="G49" s="35"/>
      <c r="H49" s="35"/>
      <c r="I49" s="36"/>
      <c r="J49" s="41">
        <v>60</v>
      </c>
      <c r="K49" s="42">
        <v>60</v>
      </c>
      <c r="L49" s="42">
        <v>60</v>
      </c>
      <c r="M49" s="42">
        <v>60</v>
      </c>
      <c r="N49" s="42">
        <v>60</v>
      </c>
      <c r="O49" s="42">
        <v>60</v>
      </c>
      <c r="P49" s="42">
        <v>60</v>
      </c>
      <c r="Q49" s="42">
        <v>60</v>
      </c>
      <c r="R49" s="42">
        <v>60</v>
      </c>
      <c r="S49" s="42">
        <v>60</v>
      </c>
      <c r="T49" s="42">
        <v>60</v>
      </c>
      <c r="U49" s="42">
        <v>60</v>
      </c>
      <c r="V49" s="42">
        <v>60</v>
      </c>
      <c r="W49" s="42">
        <v>60</v>
      </c>
      <c r="X49" s="42">
        <v>60</v>
      </c>
      <c r="Y49" s="42">
        <v>60</v>
      </c>
      <c r="Z49" s="42">
        <v>60</v>
      </c>
      <c r="AA49" s="42">
        <v>60</v>
      </c>
      <c r="AB49" s="42">
        <v>60</v>
      </c>
      <c r="AC49" s="42">
        <v>60</v>
      </c>
      <c r="AD49" s="42">
        <v>60</v>
      </c>
      <c r="AE49" s="42">
        <v>60</v>
      </c>
      <c r="AF49" s="42">
        <v>60</v>
      </c>
      <c r="AG49" s="42">
        <v>60</v>
      </c>
      <c r="AH49" s="43">
        <v>60</v>
      </c>
      <c r="AI49" s="39" t="e">
        <f>Riskregister!#REF!</f>
        <v>#REF!</v>
      </c>
      <c r="AJ49" s="40" t="e">
        <f>Riskregister!#REF!</f>
        <v>#REF!</v>
      </c>
    </row>
    <row r="50" spans="1:36" x14ac:dyDescent="0.3">
      <c r="A50" s="32" t="e">
        <f>Riskregister!#REF!</f>
        <v>#REF!</v>
      </c>
      <c r="B50" s="32" t="e">
        <f>Riskregister!#REF!</f>
        <v>#REF!</v>
      </c>
      <c r="C50" s="33" t="e">
        <f>Riskregister!#REF!</f>
        <v>#REF!</v>
      </c>
      <c r="D50" s="34" t="e">
        <f>Riskregister!#REF!</f>
        <v>#REF!</v>
      </c>
      <c r="E50" s="34" t="e">
        <f>Riskregister!#REF!</f>
        <v>#REF!</v>
      </c>
      <c r="F50" s="35"/>
      <c r="G50" s="35"/>
      <c r="H50" s="35"/>
      <c r="I50" s="36"/>
      <c r="J50" s="41">
        <v>60</v>
      </c>
      <c r="K50" s="42">
        <v>60</v>
      </c>
      <c r="L50" s="42">
        <v>60</v>
      </c>
      <c r="M50" s="42">
        <v>60</v>
      </c>
      <c r="N50" s="42">
        <v>60</v>
      </c>
      <c r="O50" s="42">
        <v>60</v>
      </c>
      <c r="P50" s="42">
        <v>60</v>
      </c>
      <c r="Q50" s="42">
        <v>60</v>
      </c>
      <c r="R50" s="42">
        <v>60</v>
      </c>
      <c r="S50" s="42">
        <v>60</v>
      </c>
      <c r="T50" s="42">
        <v>60</v>
      </c>
      <c r="U50" s="42">
        <v>60</v>
      </c>
      <c r="V50" s="42">
        <v>60</v>
      </c>
      <c r="W50" s="42">
        <v>60</v>
      </c>
      <c r="X50" s="42">
        <v>60</v>
      </c>
      <c r="Y50" s="42">
        <v>60</v>
      </c>
      <c r="Z50" s="42">
        <v>60</v>
      </c>
      <c r="AA50" s="42">
        <v>60</v>
      </c>
      <c r="AB50" s="42">
        <v>60</v>
      </c>
      <c r="AC50" s="42">
        <v>60</v>
      </c>
      <c r="AD50" s="42">
        <v>60</v>
      </c>
      <c r="AE50" s="42">
        <v>60</v>
      </c>
      <c r="AF50" s="42">
        <v>60</v>
      </c>
      <c r="AG50" s="42">
        <v>60</v>
      </c>
      <c r="AH50" s="43">
        <v>60</v>
      </c>
      <c r="AI50" s="39" t="e">
        <f>Riskregister!#REF!</f>
        <v>#REF!</v>
      </c>
      <c r="AJ50" s="40" t="e">
        <f>Riskregister!#REF!</f>
        <v>#REF!</v>
      </c>
    </row>
    <row r="51" spans="1:36" x14ac:dyDescent="0.3">
      <c r="A51" s="32" t="e">
        <f>Riskregister!#REF!</f>
        <v>#REF!</v>
      </c>
      <c r="B51" s="32" t="e">
        <f>Riskregister!#REF!</f>
        <v>#REF!</v>
      </c>
      <c r="C51" s="33" t="e">
        <f>Riskregister!#REF!</f>
        <v>#REF!</v>
      </c>
      <c r="D51" s="34" t="e">
        <f>Riskregister!#REF!</f>
        <v>#REF!</v>
      </c>
      <c r="E51" s="34" t="e">
        <f>Riskregister!#REF!</f>
        <v>#REF!</v>
      </c>
      <c r="F51" s="35"/>
      <c r="G51" s="35"/>
      <c r="H51" s="35"/>
      <c r="I51" s="36"/>
      <c r="J51" s="41">
        <v>60</v>
      </c>
      <c r="K51" s="42">
        <v>60</v>
      </c>
      <c r="L51" s="42">
        <v>60</v>
      </c>
      <c r="M51" s="42">
        <v>60</v>
      </c>
      <c r="N51" s="42">
        <v>60</v>
      </c>
      <c r="O51" s="42">
        <v>60</v>
      </c>
      <c r="P51" s="42">
        <v>60</v>
      </c>
      <c r="Q51" s="42">
        <v>60</v>
      </c>
      <c r="R51" s="42">
        <v>60</v>
      </c>
      <c r="S51" s="42">
        <v>60</v>
      </c>
      <c r="T51" s="42">
        <v>60</v>
      </c>
      <c r="U51" s="42">
        <v>60</v>
      </c>
      <c r="V51" s="42">
        <v>60</v>
      </c>
      <c r="W51" s="42">
        <v>60</v>
      </c>
      <c r="X51" s="42">
        <v>60</v>
      </c>
      <c r="Y51" s="42">
        <v>60</v>
      </c>
      <c r="Z51" s="42">
        <v>60</v>
      </c>
      <c r="AA51" s="42">
        <v>60</v>
      </c>
      <c r="AB51" s="42">
        <v>60</v>
      </c>
      <c r="AC51" s="42">
        <v>60</v>
      </c>
      <c r="AD51" s="42">
        <v>60</v>
      </c>
      <c r="AE51" s="42">
        <v>60</v>
      </c>
      <c r="AF51" s="42">
        <v>60</v>
      </c>
      <c r="AG51" s="42">
        <v>60</v>
      </c>
      <c r="AH51" s="43">
        <v>60</v>
      </c>
      <c r="AI51" s="39" t="e">
        <f>Riskregister!#REF!</f>
        <v>#REF!</v>
      </c>
      <c r="AJ51" s="40" t="e">
        <f>Riskregister!#REF!</f>
        <v>#REF!</v>
      </c>
    </row>
    <row r="52" spans="1:36" x14ac:dyDescent="0.3">
      <c r="A52" s="32" t="e">
        <f>Riskregister!#REF!</f>
        <v>#REF!</v>
      </c>
      <c r="B52" s="32" t="e">
        <f>Riskregister!#REF!</f>
        <v>#REF!</v>
      </c>
      <c r="C52" s="33" t="e">
        <f>Riskregister!#REF!</f>
        <v>#REF!</v>
      </c>
      <c r="D52" s="34" t="e">
        <f>Riskregister!#REF!</f>
        <v>#REF!</v>
      </c>
      <c r="E52" s="34" t="e">
        <f>Riskregister!#REF!</f>
        <v>#REF!</v>
      </c>
      <c r="F52" s="35"/>
      <c r="G52" s="35"/>
      <c r="H52" s="35"/>
      <c r="I52" s="36"/>
      <c r="J52" s="44">
        <v>60</v>
      </c>
      <c r="K52" s="45">
        <v>60</v>
      </c>
      <c r="L52" s="45">
        <v>60</v>
      </c>
      <c r="M52" s="45">
        <v>60</v>
      </c>
      <c r="N52" s="45">
        <v>60</v>
      </c>
      <c r="O52" s="45">
        <v>60</v>
      </c>
      <c r="P52" s="45">
        <v>60</v>
      </c>
      <c r="Q52" s="45">
        <v>60</v>
      </c>
      <c r="R52" s="45">
        <v>60</v>
      </c>
      <c r="S52" s="45">
        <v>60</v>
      </c>
      <c r="T52" s="45">
        <v>60</v>
      </c>
      <c r="U52" s="45">
        <v>60</v>
      </c>
      <c r="V52" s="45">
        <v>60</v>
      </c>
      <c r="W52" s="45">
        <v>60</v>
      </c>
      <c r="X52" s="45">
        <v>60</v>
      </c>
      <c r="Y52" s="45">
        <v>60</v>
      </c>
      <c r="Z52" s="45">
        <v>60</v>
      </c>
      <c r="AA52" s="45">
        <v>60</v>
      </c>
      <c r="AB52" s="45">
        <v>60</v>
      </c>
      <c r="AC52" s="45">
        <v>60</v>
      </c>
      <c r="AD52" s="45">
        <v>60</v>
      </c>
      <c r="AE52" s="45">
        <v>60</v>
      </c>
      <c r="AF52" s="45">
        <v>60</v>
      </c>
      <c r="AG52" s="45">
        <v>60</v>
      </c>
      <c r="AH52" s="124">
        <v>60</v>
      </c>
      <c r="AI52" s="39" t="e">
        <f>Riskregister!#REF!</f>
        <v>#REF!</v>
      </c>
      <c r="AJ52" s="40" t="e">
        <f>Riskregister!#REF!</f>
        <v>#REF!</v>
      </c>
    </row>
    <row r="53" spans="1:36" x14ac:dyDescent="0.3">
      <c r="A53" s="32" t="e">
        <f>Riskregister!#REF!</f>
        <v>#REF!</v>
      </c>
      <c r="B53" s="32" t="e">
        <f>Riskregister!#REF!</f>
        <v>#REF!</v>
      </c>
      <c r="C53" s="33" t="e">
        <f>Riskregister!#REF!</f>
        <v>#REF!</v>
      </c>
      <c r="D53" s="34" t="e">
        <f>Riskregister!#REF!</f>
        <v>#REF!</v>
      </c>
      <c r="E53" s="34" t="e">
        <f>Riskregister!#REF!</f>
        <v>#REF!</v>
      </c>
      <c r="F53" s="35"/>
      <c r="G53" s="35"/>
      <c r="H53" s="35"/>
      <c r="I53" s="36"/>
      <c r="J53" s="44">
        <v>60</v>
      </c>
      <c r="K53" s="45">
        <v>60</v>
      </c>
      <c r="L53" s="45">
        <v>60</v>
      </c>
      <c r="M53" s="45">
        <v>60</v>
      </c>
      <c r="N53" s="45">
        <v>60</v>
      </c>
      <c r="O53" s="45">
        <v>60</v>
      </c>
      <c r="P53" s="45">
        <v>60</v>
      </c>
      <c r="Q53" s="45">
        <v>60</v>
      </c>
      <c r="R53" s="45">
        <v>60</v>
      </c>
      <c r="S53" s="45">
        <v>60</v>
      </c>
      <c r="T53" s="45">
        <v>60</v>
      </c>
      <c r="U53" s="45">
        <v>60</v>
      </c>
      <c r="V53" s="45">
        <v>60</v>
      </c>
      <c r="W53" s="45">
        <v>60</v>
      </c>
      <c r="X53" s="45">
        <v>60</v>
      </c>
      <c r="Y53" s="45">
        <v>60</v>
      </c>
      <c r="Z53" s="45">
        <v>60</v>
      </c>
      <c r="AA53" s="45">
        <v>60</v>
      </c>
      <c r="AB53" s="45">
        <v>60</v>
      </c>
      <c r="AC53" s="45">
        <v>60</v>
      </c>
      <c r="AD53" s="45">
        <v>60</v>
      </c>
      <c r="AE53" s="45">
        <v>60</v>
      </c>
      <c r="AF53" s="45">
        <v>60</v>
      </c>
      <c r="AG53" s="45">
        <v>60</v>
      </c>
      <c r="AH53" s="124">
        <v>60</v>
      </c>
      <c r="AI53" s="39" t="e">
        <f>Riskregister!#REF!</f>
        <v>#REF!</v>
      </c>
      <c r="AJ53" s="40" t="e">
        <f>Riskregister!#REF!</f>
        <v>#REF!</v>
      </c>
    </row>
    <row r="54" spans="1:36" x14ac:dyDescent="0.3">
      <c r="A54" s="32" t="e">
        <f>Riskregister!#REF!</f>
        <v>#REF!</v>
      </c>
      <c r="B54" s="32" t="e">
        <f>Riskregister!#REF!</f>
        <v>#REF!</v>
      </c>
      <c r="C54" s="33" t="e">
        <f>Riskregister!#REF!</f>
        <v>#REF!</v>
      </c>
      <c r="D54" s="34" t="e">
        <f>Riskregister!#REF!</f>
        <v>#REF!</v>
      </c>
      <c r="E54" s="34" t="e">
        <f>Riskregister!#REF!</f>
        <v>#REF!</v>
      </c>
      <c r="F54" s="35"/>
      <c r="G54" s="35"/>
      <c r="H54" s="35"/>
      <c r="I54" s="36"/>
      <c r="J54" s="44">
        <v>60</v>
      </c>
      <c r="K54" s="45">
        <v>60</v>
      </c>
      <c r="L54" s="45">
        <v>60</v>
      </c>
      <c r="M54" s="45">
        <v>60</v>
      </c>
      <c r="N54" s="45">
        <v>60</v>
      </c>
      <c r="O54" s="45">
        <v>60</v>
      </c>
      <c r="P54" s="45">
        <v>60</v>
      </c>
      <c r="Q54" s="45">
        <v>60</v>
      </c>
      <c r="R54" s="45">
        <v>60</v>
      </c>
      <c r="S54" s="45">
        <v>60</v>
      </c>
      <c r="T54" s="45">
        <v>60</v>
      </c>
      <c r="U54" s="45">
        <v>60</v>
      </c>
      <c r="V54" s="45">
        <v>60</v>
      </c>
      <c r="W54" s="45">
        <v>60</v>
      </c>
      <c r="X54" s="45">
        <v>60</v>
      </c>
      <c r="Y54" s="45">
        <v>60</v>
      </c>
      <c r="Z54" s="45">
        <v>60</v>
      </c>
      <c r="AA54" s="45">
        <v>60</v>
      </c>
      <c r="AB54" s="45">
        <v>60</v>
      </c>
      <c r="AC54" s="45">
        <v>60</v>
      </c>
      <c r="AD54" s="45">
        <v>60</v>
      </c>
      <c r="AE54" s="45">
        <v>60</v>
      </c>
      <c r="AF54" s="45">
        <v>60</v>
      </c>
      <c r="AG54" s="45">
        <v>60</v>
      </c>
      <c r="AH54" s="124">
        <v>60</v>
      </c>
      <c r="AI54" s="39" t="e">
        <f>Riskregister!#REF!</f>
        <v>#REF!</v>
      </c>
      <c r="AJ54" s="40" t="e">
        <f>Riskregister!#REF!</f>
        <v>#REF!</v>
      </c>
    </row>
    <row r="55" spans="1:36" x14ac:dyDescent="0.3">
      <c r="A55" s="32" t="e">
        <f>Riskregister!#REF!</f>
        <v>#REF!</v>
      </c>
      <c r="B55" s="32" t="e">
        <f>Riskregister!#REF!</f>
        <v>#REF!</v>
      </c>
      <c r="C55" s="33" t="e">
        <f>Riskregister!#REF!</f>
        <v>#REF!</v>
      </c>
      <c r="D55" s="34" t="e">
        <f>Riskregister!#REF!</f>
        <v>#REF!</v>
      </c>
      <c r="E55" s="34" t="e">
        <f>Riskregister!#REF!</f>
        <v>#REF!</v>
      </c>
      <c r="F55" s="35"/>
      <c r="G55" s="35"/>
      <c r="H55" s="35"/>
      <c r="I55" s="36"/>
      <c r="J55" s="44">
        <v>60</v>
      </c>
      <c r="K55" s="45">
        <v>60</v>
      </c>
      <c r="L55" s="45">
        <v>60</v>
      </c>
      <c r="M55" s="45">
        <v>60</v>
      </c>
      <c r="N55" s="45">
        <v>60</v>
      </c>
      <c r="O55" s="45">
        <v>60</v>
      </c>
      <c r="P55" s="45">
        <v>60</v>
      </c>
      <c r="Q55" s="45">
        <v>60</v>
      </c>
      <c r="R55" s="45">
        <v>60</v>
      </c>
      <c r="S55" s="45">
        <v>60</v>
      </c>
      <c r="T55" s="45">
        <v>60</v>
      </c>
      <c r="U55" s="45">
        <v>60</v>
      </c>
      <c r="V55" s="45">
        <v>60</v>
      </c>
      <c r="W55" s="45">
        <v>60</v>
      </c>
      <c r="X55" s="45">
        <v>60</v>
      </c>
      <c r="Y55" s="45">
        <v>60</v>
      </c>
      <c r="Z55" s="45">
        <v>60</v>
      </c>
      <c r="AA55" s="45">
        <v>60</v>
      </c>
      <c r="AB55" s="45">
        <v>60</v>
      </c>
      <c r="AC55" s="45">
        <v>60</v>
      </c>
      <c r="AD55" s="45">
        <v>60</v>
      </c>
      <c r="AE55" s="45">
        <v>60</v>
      </c>
      <c r="AF55" s="45">
        <v>60</v>
      </c>
      <c r="AG55" s="45">
        <v>60</v>
      </c>
      <c r="AH55" s="124">
        <v>60</v>
      </c>
      <c r="AI55" s="39" t="e">
        <f>Riskregister!#REF!</f>
        <v>#REF!</v>
      </c>
      <c r="AJ55" s="40" t="e">
        <f>Riskregister!#REF!</f>
        <v>#REF!</v>
      </c>
    </row>
    <row r="56" spans="1:36" x14ac:dyDescent="0.3">
      <c r="A56" s="32" t="e">
        <f>Riskregister!#REF!</f>
        <v>#REF!</v>
      </c>
      <c r="B56" s="32" t="e">
        <f>Riskregister!#REF!</f>
        <v>#REF!</v>
      </c>
      <c r="C56" s="33" t="e">
        <f>Riskregister!#REF!</f>
        <v>#REF!</v>
      </c>
      <c r="D56" s="34" t="e">
        <f>Riskregister!#REF!</f>
        <v>#REF!</v>
      </c>
      <c r="E56" s="34" t="e">
        <f>Riskregister!#REF!</f>
        <v>#REF!</v>
      </c>
      <c r="F56" s="35"/>
      <c r="G56" s="35"/>
      <c r="H56" s="35"/>
      <c r="I56" s="36"/>
      <c r="J56" s="44">
        <v>60</v>
      </c>
      <c r="K56" s="45">
        <v>60</v>
      </c>
      <c r="L56" s="45">
        <v>60</v>
      </c>
      <c r="M56" s="45">
        <v>60</v>
      </c>
      <c r="N56" s="45">
        <v>60</v>
      </c>
      <c r="O56" s="45">
        <v>60</v>
      </c>
      <c r="P56" s="45">
        <v>60</v>
      </c>
      <c r="Q56" s="45">
        <v>60</v>
      </c>
      <c r="R56" s="45">
        <v>60</v>
      </c>
      <c r="S56" s="45">
        <v>60</v>
      </c>
      <c r="T56" s="45">
        <v>60</v>
      </c>
      <c r="U56" s="45">
        <v>60</v>
      </c>
      <c r="V56" s="45">
        <v>60</v>
      </c>
      <c r="W56" s="45">
        <v>60</v>
      </c>
      <c r="X56" s="45">
        <v>60</v>
      </c>
      <c r="Y56" s="45">
        <v>60</v>
      </c>
      <c r="Z56" s="45">
        <v>60</v>
      </c>
      <c r="AA56" s="45">
        <v>60</v>
      </c>
      <c r="AB56" s="45">
        <v>60</v>
      </c>
      <c r="AC56" s="45">
        <v>60</v>
      </c>
      <c r="AD56" s="45">
        <v>60</v>
      </c>
      <c r="AE56" s="45">
        <v>60</v>
      </c>
      <c r="AF56" s="45">
        <v>60</v>
      </c>
      <c r="AG56" s="45">
        <v>60</v>
      </c>
      <c r="AH56" s="124">
        <v>60</v>
      </c>
      <c r="AI56" s="39" t="e">
        <f>Riskregister!#REF!</f>
        <v>#REF!</v>
      </c>
      <c r="AJ56" s="40" t="e">
        <f>Riskregister!#REF!</f>
        <v>#REF!</v>
      </c>
    </row>
    <row r="57" spans="1:36" x14ac:dyDescent="0.3">
      <c r="A57" s="32" t="e">
        <f>Riskregister!#REF!</f>
        <v>#REF!</v>
      </c>
      <c r="B57" s="32" t="e">
        <f>Riskregister!#REF!</f>
        <v>#REF!</v>
      </c>
      <c r="C57" s="33" t="e">
        <f>Riskregister!#REF!</f>
        <v>#REF!</v>
      </c>
      <c r="D57" s="34" t="e">
        <f>Riskregister!#REF!</f>
        <v>#REF!</v>
      </c>
      <c r="E57" s="34" t="e">
        <f>Riskregister!#REF!</f>
        <v>#REF!</v>
      </c>
      <c r="F57" s="35"/>
      <c r="G57" s="35"/>
      <c r="H57" s="35"/>
      <c r="I57" s="36"/>
      <c r="J57" s="44">
        <v>60</v>
      </c>
      <c r="K57" s="45">
        <v>60</v>
      </c>
      <c r="L57" s="45">
        <v>60</v>
      </c>
      <c r="M57" s="45">
        <v>60</v>
      </c>
      <c r="N57" s="45">
        <v>60</v>
      </c>
      <c r="O57" s="45">
        <v>60</v>
      </c>
      <c r="P57" s="45">
        <v>60</v>
      </c>
      <c r="Q57" s="45">
        <v>60</v>
      </c>
      <c r="R57" s="45">
        <v>60</v>
      </c>
      <c r="S57" s="45">
        <v>60</v>
      </c>
      <c r="T57" s="45">
        <v>60</v>
      </c>
      <c r="U57" s="45">
        <v>60</v>
      </c>
      <c r="V57" s="45">
        <v>60</v>
      </c>
      <c r="W57" s="45">
        <v>60</v>
      </c>
      <c r="X57" s="45">
        <v>60</v>
      </c>
      <c r="Y57" s="45">
        <v>60</v>
      </c>
      <c r="Z57" s="45">
        <v>60</v>
      </c>
      <c r="AA57" s="45">
        <v>60</v>
      </c>
      <c r="AB57" s="45">
        <v>60</v>
      </c>
      <c r="AC57" s="45">
        <v>60</v>
      </c>
      <c r="AD57" s="45">
        <v>60</v>
      </c>
      <c r="AE57" s="45">
        <v>60</v>
      </c>
      <c r="AF57" s="45">
        <v>60</v>
      </c>
      <c r="AG57" s="45">
        <v>60</v>
      </c>
      <c r="AH57" s="124">
        <v>60</v>
      </c>
      <c r="AI57" s="39" t="e">
        <f>Riskregister!#REF!</f>
        <v>#REF!</v>
      </c>
      <c r="AJ57" s="40" t="e">
        <f>Riskregister!#REF!</f>
        <v>#REF!</v>
      </c>
    </row>
    <row r="58" spans="1:36" x14ac:dyDescent="0.3">
      <c r="A58" s="32" t="e">
        <f>Riskregister!#REF!</f>
        <v>#REF!</v>
      </c>
      <c r="B58" s="32" t="e">
        <f>Riskregister!#REF!</f>
        <v>#REF!</v>
      </c>
      <c r="C58" s="33" t="e">
        <f>Riskregister!#REF!</f>
        <v>#REF!</v>
      </c>
      <c r="D58" s="34" t="e">
        <f>Riskregister!#REF!</f>
        <v>#REF!</v>
      </c>
      <c r="E58" s="34" t="e">
        <f>Riskregister!#REF!</f>
        <v>#REF!</v>
      </c>
      <c r="F58" s="35"/>
      <c r="G58" s="35"/>
      <c r="H58" s="35"/>
      <c r="I58" s="36"/>
      <c r="J58" s="44">
        <v>60</v>
      </c>
      <c r="K58" s="45">
        <v>60</v>
      </c>
      <c r="L58" s="45">
        <v>60</v>
      </c>
      <c r="M58" s="45">
        <v>60</v>
      </c>
      <c r="N58" s="45">
        <v>60</v>
      </c>
      <c r="O58" s="45">
        <v>60</v>
      </c>
      <c r="P58" s="45">
        <v>60</v>
      </c>
      <c r="Q58" s="45">
        <v>60</v>
      </c>
      <c r="R58" s="45">
        <v>60</v>
      </c>
      <c r="S58" s="45">
        <v>60</v>
      </c>
      <c r="T58" s="45">
        <v>60</v>
      </c>
      <c r="U58" s="45">
        <v>60</v>
      </c>
      <c r="V58" s="45">
        <v>60</v>
      </c>
      <c r="W58" s="45">
        <v>60</v>
      </c>
      <c r="X58" s="45">
        <v>60</v>
      </c>
      <c r="Y58" s="45">
        <v>60</v>
      </c>
      <c r="Z58" s="45">
        <v>60</v>
      </c>
      <c r="AA58" s="45">
        <v>60</v>
      </c>
      <c r="AB58" s="45">
        <v>60</v>
      </c>
      <c r="AC58" s="45">
        <v>60</v>
      </c>
      <c r="AD58" s="45">
        <v>60</v>
      </c>
      <c r="AE58" s="45">
        <v>60</v>
      </c>
      <c r="AF58" s="45">
        <v>60</v>
      </c>
      <c r="AG58" s="45">
        <v>60</v>
      </c>
      <c r="AH58" s="124">
        <v>60</v>
      </c>
      <c r="AI58" s="39" t="e">
        <f>Riskregister!#REF!</f>
        <v>#REF!</v>
      </c>
      <c r="AJ58" s="40" t="e">
        <f>Riskregister!#REF!</f>
        <v>#REF!</v>
      </c>
    </row>
    <row r="59" spans="1:36" x14ac:dyDescent="0.3">
      <c r="A59" s="32" t="e">
        <f>Riskregister!#REF!</f>
        <v>#REF!</v>
      </c>
      <c r="B59" s="32" t="e">
        <f>Riskregister!#REF!</f>
        <v>#REF!</v>
      </c>
      <c r="C59" s="33" t="e">
        <f>Riskregister!#REF!</f>
        <v>#REF!</v>
      </c>
      <c r="D59" s="34" t="e">
        <f>Riskregister!#REF!</f>
        <v>#REF!</v>
      </c>
      <c r="E59" s="34" t="e">
        <f>Riskregister!#REF!</f>
        <v>#REF!</v>
      </c>
      <c r="F59" s="35"/>
      <c r="G59" s="35"/>
      <c r="H59" s="35"/>
      <c r="I59" s="36"/>
      <c r="J59" s="44">
        <v>60</v>
      </c>
      <c r="K59" s="45">
        <v>60</v>
      </c>
      <c r="L59" s="45">
        <v>60</v>
      </c>
      <c r="M59" s="45">
        <v>60</v>
      </c>
      <c r="N59" s="45">
        <v>60</v>
      </c>
      <c r="O59" s="45">
        <v>60</v>
      </c>
      <c r="P59" s="45">
        <v>60</v>
      </c>
      <c r="Q59" s="45">
        <v>60</v>
      </c>
      <c r="R59" s="45">
        <v>60</v>
      </c>
      <c r="S59" s="45">
        <v>60</v>
      </c>
      <c r="T59" s="45">
        <v>60</v>
      </c>
      <c r="U59" s="45">
        <v>60</v>
      </c>
      <c r="V59" s="45">
        <v>60</v>
      </c>
      <c r="W59" s="45">
        <v>60</v>
      </c>
      <c r="X59" s="45">
        <v>60</v>
      </c>
      <c r="Y59" s="45">
        <v>60</v>
      </c>
      <c r="Z59" s="45">
        <v>60</v>
      </c>
      <c r="AA59" s="45">
        <v>60</v>
      </c>
      <c r="AB59" s="45">
        <v>60</v>
      </c>
      <c r="AC59" s="45">
        <v>60</v>
      </c>
      <c r="AD59" s="45">
        <v>60</v>
      </c>
      <c r="AE59" s="45">
        <v>60</v>
      </c>
      <c r="AF59" s="45">
        <v>60</v>
      </c>
      <c r="AG59" s="45">
        <v>60</v>
      </c>
      <c r="AH59" s="124">
        <v>60</v>
      </c>
      <c r="AI59" s="39" t="e">
        <f>Riskregister!#REF!</f>
        <v>#REF!</v>
      </c>
      <c r="AJ59" s="40" t="e">
        <f>Riskregister!#REF!</f>
        <v>#REF!</v>
      </c>
    </row>
    <row r="60" spans="1:36" x14ac:dyDescent="0.3">
      <c r="A60" s="32" t="e">
        <f>Riskregister!#REF!</f>
        <v>#REF!</v>
      </c>
      <c r="B60" s="32" t="e">
        <f>Riskregister!#REF!</f>
        <v>#REF!</v>
      </c>
      <c r="C60" s="33" t="e">
        <f>Riskregister!#REF!</f>
        <v>#REF!</v>
      </c>
      <c r="D60" s="34" t="e">
        <f>Riskregister!#REF!</f>
        <v>#REF!</v>
      </c>
      <c r="E60" s="34" t="e">
        <f>Riskregister!#REF!</f>
        <v>#REF!</v>
      </c>
      <c r="F60" s="35"/>
      <c r="G60" s="35"/>
      <c r="H60" s="35"/>
      <c r="I60" s="36"/>
      <c r="J60" s="44">
        <v>60</v>
      </c>
      <c r="K60" s="45">
        <v>60</v>
      </c>
      <c r="L60" s="45">
        <v>60</v>
      </c>
      <c r="M60" s="45">
        <v>60</v>
      </c>
      <c r="N60" s="45">
        <v>60</v>
      </c>
      <c r="O60" s="45">
        <v>60</v>
      </c>
      <c r="P60" s="45">
        <v>60</v>
      </c>
      <c r="Q60" s="45">
        <v>60</v>
      </c>
      <c r="R60" s="45">
        <v>60</v>
      </c>
      <c r="S60" s="45">
        <v>60</v>
      </c>
      <c r="T60" s="45">
        <v>60</v>
      </c>
      <c r="U60" s="45">
        <v>60</v>
      </c>
      <c r="V60" s="45">
        <v>60</v>
      </c>
      <c r="W60" s="45">
        <v>60</v>
      </c>
      <c r="X60" s="45">
        <v>60</v>
      </c>
      <c r="Y60" s="45">
        <v>60</v>
      </c>
      <c r="Z60" s="45">
        <v>60</v>
      </c>
      <c r="AA60" s="45">
        <v>60</v>
      </c>
      <c r="AB60" s="45">
        <v>60</v>
      </c>
      <c r="AC60" s="45">
        <v>60</v>
      </c>
      <c r="AD60" s="45">
        <v>60</v>
      </c>
      <c r="AE60" s="45">
        <v>60</v>
      </c>
      <c r="AF60" s="45">
        <v>60</v>
      </c>
      <c r="AG60" s="45">
        <v>60</v>
      </c>
      <c r="AH60" s="124">
        <v>60</v>
      </c>
      <c r="AI60" s="39" t="e">
        <f>Riskregister!#REF!</f>
        <v>#REF!</v>
      </c>
      <c r="AJ60" s="40" t="e">
        <f>Riskregister!#REF!</f>
        <v>#REF!</v>
      </c>
    </row>
    <row r="61" spans="1:36" x14ac:dyDescent="0.3">
      <c r="A61" s="32" t="e">
        <f>Riskregister!#REF!</f>
        <v>#REF!</v>
      </c>
      <c r="B61" s="32" t="e">
        <f>Riskregister!#REF!</f>
        <v>#REF!</v>
      </c>
      <c r="C61" s="33" t="e">
        <f>Riskregister!#REF!</f>
        <v>#REF!</v>
      </c>
      <c r="D61" s="34" t="e">
        <f>Riskregister!#REF!</f>
        <v>#REF!</v>
      </c>
      <c r="E61" s="34" t="e">
        <f>Riskregister!#REF!</f>
        <v>#REF!</v>
      </c>
      <c r="F61" s="35"/>
      <c r="G61" s="35"/>
      <c r="H61" s="35"/>
      <c r="I61" s="36"/>
      <c r="J61" s="44">
        <v>60</v>
      </c>
      <c r="K61" s="45">
        <v>60</v>
      </c>
      <c r="L61" s="45">
        <v>60</v>
      </c>
      <c r="M61" s="45">
        <v>60</v>
      </c>
      <c r="N61" s="45">
        <v>60</v>
      </c>
      <c r="O61" s="45">
        <v>60</v>
      </c>
      <c r="P61" s="45">
        <v>60</v>
      </c>
      <c r="Q61" s="45">
        <v>60</v>
      </c>
      <c r="R61" s="45">
        <v>60</v>
      </c>
      <c r="S61" s="45">
        <v>60</v>
      </c>
      <c r="T61" s="45">
        <v>60</v>
      </c>
      <c r="U61" s="45">
        <v>60</v>
      </c>
      <c r="V61" s="45">
        <v>60</v>
      </c>
      <c r="W61" s="45">
        <v>60</v>
      </c>
      <c r="X61" s="45">
        <v>60</v>
      </c>
      <c r="Y61" s="45">
        <v>60</v>
      </c>
      <c r="Z61" s="45">
        <v>60</v>
      </c>
      <c r="AA61" s="45">
        <v>60</v>
      </c>
      <c r="AB61" s="45">
        <v>60</v>
      </c>
      <c r="AC61" s="45">
        <v>60</v>
      </c>
      <c r="AD61" s="45">
        <v>60</v>
      </c>
      <c r="AE61" s="45">
        <v>60</v>
      </c>
      <c r="AF61" s="45">
        <v>60</v>
      </c>
      <c r="AG61" s="45">
        <v>60</v>
      </c>
      <c r="AH61" s="124">
        <v>60</v>
      </c>
      <c r="AI61" s="39" t="e">
        <f>Riskregister!#REF!</f>
        <v>#REF!</v>
      </c>
      <c r="AJ61" s="40" t="e">
        <f>Riskregister!#REF!</f>
        <v>#REF!</v>
      </c>
    </row>
    <row r="62" spans="1:36" x14ac:dyDescent="0.3">
      <c r="A62" s="32" t="e">
        <f>Riskregister!#REF!</f>
        <v>#REF!</v>
      </c>
      <c r="B62" s="32" t="e">
        <f>Riskregister!#REF!</f>
        <v>#REF!</v>
      </c>
      <c r="C62" s="33" t="e">
        <f>Riskregister!#REF!</f>
        <v>#REF!</v>
      </c>
      <c r="D62" s="34" t="e">
        <f>Riskregister!#REF!</f>
        <v>#REF!</v>
      </c>
      <c r="E62" s="34" t="e">
        <f>Riskregister!#REF!</f>
        <v>#REF!</v>
      </c>
      <c r="F62" s="35"/>
      <c r="G62" s="35"/>
      <c r="H62" s="35"/>
      <c r="I62" s="36"/>
      <c r="J62" s="44">
        <v>60</v>
      </c>
      <c r="K62" s="45">
        <v>60</v>
      </c>
      <c r="L62" s="45">
        <v>60</v>
      </c>
      <c r="M62" s="45">
        <v>60</v>
      </c>
      <c r="N62" s="45">
        <v>60</v>
      </c>
      <c r="O62" s="45">
        <v>60</v>
      </c>
      <c r="P62" s="45">
        <v>60</v>
      </c>
      <c r="Q62" s="45">
        <v>60</v>
      </c>
      <c r="R62" s="45">
        <v>60</v>
      </c>
      <c r="S62" s="45">
        <v>60</v>
      </c>
      <c r="T62" s="45">
        <v>60</v>
      </c>
      <c r="U62" s="45">
        <v>60</v>
      </c>
      <c r="V62" s="45">
        <v>60</v>
      </c>
      <c r="W62" s="45">
        <v>60</v>
      </c>
      <c r="X62" s="45">
        <v>60</v>
      </c>
      <c r="Y62" s="45">
        <v>60</v>
      </c>
      <c r="Z62" s="45">
        <v>60</v>
      </c>
      <c r="AA62" s="45">
        <v>60</v>
      </c>
      <c r="AB62" s="45">
        <v>60</v>
      </c>
      <c r="AC62" s="45">
        <v>60</v>
      </c>
      <c r="AD62" s="45">
        <v>60</v>
      </c>
      <c r="AE62" s="45">
        <v>60</v>
      </c>
      <c r="AF62" s="45">
        <v>60</v>
      </c>
      <c r="AG62" s="45">
        <v>60</v>
      </c>
      <c r="AH62" s="124">
        <v>60</v>
      </c>
      <c r="AI62" s="39" t="e">
        <f>Riskregister!#REF!</f>
        <v>#REF!</v>
      </c>
      <c r="AJ62" s="40" t="e">
        <f>Riskregister!#REF!</f>
        <v>#REF!</v>
      </c>
    </row>
    <row r="63" spans="1:36" x14ac:dyDescent="0.3">
      <c r="A63" s="32" t="e">
        <f>Riskregister!#REF!</f>
        <v>#REF!</v>
      </c>
      <c r="B63" s="32" t="e">
        <f>Riskregister!#REF!</f>
        <v>#REF!</v>
      </c>
      <c r="C63" s="33" t="e">
        <f>Riskregister!#REF!</f>
        <v>#REF!</v>
      </c>
      <c r="D63" s="34" t="e">
        <f>Riskregister!#REF!</f>
        <v>#REF!</v>
      </c>
      <c r="E63" s="34" t="e">
        <f>Riskregister!#REF!</f>
        <v>#REF!</v>
      </c>
      <c r="F63" s="35"/>
      <c r="G63" s="35"/>
      <c r="H63" s="35"/>
      <c r="I63" s="36"/>
      <c r="J63" s="44">
        <v>60</v>
      </c>
      <c r="K63" s="45">
        <v>60</v>
      </c>
      <c r="L63" s="45">
        <v>60</v>
      </c>
      <c r="M63" s="45">
        <v>60</v>
      </c>
      <c r="N63" s="45">
        <v>60</v>
      </c>
      <c r="O63" s="45">
        <v>60</v>
      </c>
      <c r="P63" s="45">
        <v>60</v>
      </c>
      <c r="Q63" s="45">
        <v>60</v>
      </c>
      <c r="R63" s="45">
        <v>60</v>
      </c>
      <c r="S63" s="45">
        <v>60</v>
      </c>
      <c r="T63" s="45">
        <v>60</v>
      </c>
      <c r="U63" s="45">
        <v>60</v>
      </c>
      <c r="V63" s="45">
        <v>60</v>
      </c>
      <c r="W63" s="45">
        <v>60</v>
      </c>
      <c r="X63" s="45">
        <v>60</v>
      </c>
      <c r="Y63" s="45">
        <v>60</v>
      </c>
      <c r="Z63" s="45">
        <v>60</v>
      </c>
      <c r="AA63" s="45">
        <v>60</v>
      </c>
      <c r="AB63" s="45">
        <v>60</v>
      </c>
      <c r="AC63" s="45">
        <v>60</v>
      </c>
      <c r="AD63" s="45">
        <v>60</v>
      </c>
      <c r="AE63" s="45">
        <v>60</v>
      </c>
      <c r="AF63" s="45">
        <v>60</v>
      </c>
      <c r="AG63" s="45">
        <v>60</v>
      </c>
      <c r="AH63" s="124">
        <v>60</v>
      </c>
      <c r="AI63" s="39" t="e">
        <f>Riskregister!#REF!</f>
        <v>#REF!</v>
      </c>
      <c r="AJ63" s="40" t="e">
        <f>Riskregister!#REF!</f>
        <v>#REF!</v>
      </c>
    </row>
    <row r="64" spans="1:36" x14ac:dyDescent="0.3">
      <c r="A64" s="32" t="e">
        <f>Riskregister!#REF!</f>
        <v>#REF!</v>
      </c>
      <c r="B64" s="32" t="e">
        <f>Riskregister!#REF!</f>
        <v>#REF!</v>
      </c>
      <c r="C64" s="33" t="e">
        <f>Riskregister!#REF!</f>
        <v>#REF!</v>
      </c>
      <c r="D64" s="34" t="e">
        <f>Riskregister!#REF!</f>
        <v>#REF!</v>
      </c>
      <c r="E64" s="34" t="e">
        <f>Riskregister!#REF!</f>
        <v>#REF!</v>
      </c>
      <c r="F64" s="35"/>
      <c r="G64" s="35"/>
      <c r="H64" s="35"/>
      <c r="I64" s="36"/>
      <c r="J64" s="44">
        <v>60</v>
      </c>
      <c r="K64" s="45">
        <v>60</v>
      </c>
      <c r="L64" s="45">
        <v>60</v>
      </c>
      <c r="M64" s="45">
        <v>60</v>
      </c>
      <c r="N64" s="45">
        <v>60</v>
      </c>
      <c r="O64" s="45">
        <v>60</v>
      </c>
      <c r="P64" s="45">
        <v>60</v>
      </c>
      <c r="Q64" s="45">
        <v>60</v>
      </c>
      <c r="R64" s="45">
        <v>60</v>
      </c>
      <c r="S64" s="45">
        <v>60</v>
      </c>
      <c r="T64" s="45">
        <v>60</v>
      </c>
      <c r="U64" s="45">
        <v>60</v>
      </c>
      <c r="V64" s="45">
        <v>60</v>
      </c>
      <c r="W64" s="45">
        <v>60</v>
      </c>
      <c r="X64" s="45">
        <v>60</v>
      </c>
      <c r="Y64" s="45">
        <v>60</v>
      </c>
      <c r="Z64" s="45">
        <v>60</v>
      </c>
      <c r="AA64" s="45">
        <v>60</v>
      </c>
      <c r="AB64" s="45">
        <v>60</v>
      </c>
      <c r="AC64" s="45">
        <v>60</v>
      </c>
      <c r="AD64" s="45">
        <v>60</v>
      </c>
      <c r="AE64" s="45">
        <v>60</v>
      </c>
      <c r="AF64" s="45">
        <v>60</v>
      </c>
      <c r="AG64" s="45">
        <v>60</v>
      </c>
      <c r="AH64" s="124">
        <v>60</v>
      </c>
      <c r="AI64" s="39" t="e">
        <f>Riskregister!#REF!</f>
        <v>#REF!</v>
      </c>
      <c r="AJ64" s="40" t="e">
        <f>Riskregister!#REF!</f>
        <v>#REF!</v>
      </c>
    </row>
    <row r="65" spans="1:36" x14ac:dyDescent="0.3">
      <c r="A65" s="32" t="e">
        <f>Riskregister!#REF!</f>
        <v>#REF!</v>
      </c>
      <c r="B65" s="32" t="e">
        <f>Riskregister!#REF!</f>
        <v>#REF!</v>
      </c>
      <c r="C65" s="33" t="e">
        <f>Riskregister!#REF!</f>
        <v>#REF!</v>
      </c>
      <c r="D65" s="34" t="e">
        <f>Riskregister!#REF!</f>
        <v>#REF!</v>
      </c>
      <c r="E65" s="34" t="e">
        <f>Riskregister!#REF!</f>
        <v>#REF!</v>
      </c>
      <c r="F65" s="35"/>
      <c r="G65" s="35"/>
      <c r="H65" s="35"/>
      <c r="I65" s="36"/>
      <c r="J65" s="44">
        <v>60</v>
      </c>
      <c r="K65" s="45">
        <v>60</v>
      </c>
      <c r="L65" s="45">
        <v>60</v>
      </c>
      <c r="M65" s="45">
        <v>60</v>
      </c>
      <c r="N65" s="45">
        <v>60</v>
      </c>
      <c r="O65" s="45">
        <v>60</v>
      </c>
      <c r="P65" s="45">
        <v>60</v>
      </c>
      <c r="Q65" s="45">
        <v>60</v>
      </c>
      <c r="R65" s="45">
        <v>60</v>
      </c>
      <c r="S65" s="45">
        <v>60</v>
      </c>
      <c r="T65" s="45">
        <v>60</v>
      </c>
      <c r="U65" s="45">
        <v>60</v>
      </c>
      <c r="V65" s="45">
        <v>60</v>
      </c>
      <c r="W65" s="45">
        <v>60</v>
      </c>
      <c r="X65" s="45">
        <v>60</v>
      </c>
      <c r="Y65" s="45">
        <v>60</v>
      </c>
      <c r="Z65" s="45">
        <v>60</v>
      </c>
      <c r="AA65" s="45">
        <v>60</v>
      </c>
      <c r="AB65" s="45">
        <v>60</v>
      </c>
      <c r="AC65" s="45">
        <v>60</v>
      </c>
      <c r="AD65" s="45">
        <v>60</v>
      </c>
      <c r="AE65" s="45">
        <v>60</v>
      </c>
      <c r="AF65" s="45">
        <v>60</v>
      </c>
      <c r="AG65" s="45">
        <v>60</v>
      </c>
      <c r="AH65" s="124">
        <v>60</v>
      </c>
      <c r="AI65" s="39" t="e">
        <f>Riskregister!#REF!</f>
        <v>#REF!</v>
      </c>
      <c r="AJ65" s="40" t="e">
        <f>Riskregister!#REF!</f>
        <v>#REF!</v>
      </c>
    </row>
    <row r="66" spans="1:36" x14ac:dyDescent="0.3">
      <c r="A66" s="32" t="e">
        <f>Riskregister!#REF!</f>
        <v>#REF!</v>
      </c>
      <c r="B66" s="32" t="e">
        <f>Riskregister!#REF!</f>
        <v>#REF!</v>
      </c>
      <c r="C66" s="33" t="e">
        <f>Riskregister!#REF!</f>
        <v>#REF!</v>
      </c>
      <c r="D66" s="34" t="e">
        <f>Riskregister!#REF!</f>
        <v>#REF!</v>
      </c>
      <c r="E66" s="34" t="e">
        <f>Riskregister!#REF!</f>
        <v>#REF!</v>
      </c>
      <c r="F66" s="35"/>
      <c r="G66" s="35"/>
      <c r="H66" s="35"/>
      <c r="I66" s="36"/>
      <c r="J66" s="44">
        <v>60</v>
      </c>
      <c r="K66" s="45">
        <v>60</v>
      </c>
      <c r="L66" s="45">
        <v>60</v>
      </c>
      <c r="M66" s="45">
        <v>60</v>
      </c>
      <c r="N66" s="45">
        <v>60</v>
      </c>
      <c r="O66" s="45">
        <v>60</v>
      </c>
      <c r="P66" s="45">
        <v>60</v>
      </c>
      <c r="Q66" s="45">
        <v>60</v>
      </c>
      <c r="R66" s="45">
        <v>60</v>
      </c>
      <c r="S66" s="45">
        <v>60</v>
      </c>
      <c r="T66" s="45">
        <v>60</v>
      </c>
      <c r="U66" s="45">
        <v>60</v>
      </c>
      <c r="V66" s="45">
        <v>60</v>
      </c>
      <c r="W66" s="45">
        <v>60</v>
      </c>
      <c r="X66" s="45">
        <v>60</v>
      </c>
      <c r="Y66" s="45">
        <v>60</v>
      </c>
      <c r="Z66" s="45">
        <v>60</v>
      </c>
      <c r="AA66" s="45">
        <v>60</v>
      </c>
      <c r="AB66" s="45">
        <v>60</v>
      </c>
      <c r="AC66" s="45">
        <v>60</v>
      </c>
      <c r="AD66" s="45">
        <v>60</v>
      </c>
      <c r="AE66" s="45">
        <v>60</v>
      </c>
      <c r="AF66" s="45">
        <v>60</v>
      </c>
      <c r="AG66" s="45">
        <v>60</v>
      </c>
      <c r="AH66" s="124">
        <v>60</v>
      </c>
      <c r="AI66" s="39" t="e">
        <f>Riskregister!#REF!</f>
        <v>#REF!</v>
      </c>
      <c r="AJ66" s="40" t="e">
        <f>Riskregister!#REF!</f>
        <v>#REF!</v>
      </c>
    </row>
    <row r="67" spans="1:36" x14ac:dyDescent="0.3">
      <c r="A67" s="32" t="e">
        <f>Riskregister!#REF!</f>
        <v>#REF!</v>
      </c>
      <c r="B67" s="32" t="e">
        <f>Riskregister!#REF!</f>
        <v>#REF!</v>
      </c>
      <c r="C67" s="33" t="e">
        <f>Riskregister!#REF!</f>
        <v>#REF!</v>
      </c>
      <c r="D67" s="34" t="e">
        <f>Riskregister!#REF!</f>
        <v>#REF!</v>
      </c>
      <c r="E67" s="34" t="e">
        <f>Riskregister!#REF!</f>
        <v>#REF!</v>
      </c>
      <c r="F67" s="35"/>
      <c r="G67" s="35"/>
      <c r="H67" s="35"/>
      <c r="I67" s="36"/>
      <c r="J67" s="44">
        <v>60</v>
      </c>
      <c r="K67" s="45">
        <v>60</v>
      </c>
      <c r="L67" s="45">
        <v>60</v>
      </c>
      <c r="M67" s="45">
        <v>60</v>
      </c>
      <c r="N67" s="45">
        <v>60</v>
      </c>
      <c r="O67" s="45">
        <v>60</v>
      </c>
      <c r="P67" s="45">
        <v>60</v>
      </c>
      <c r="Q67" s="45">
        <v>60</v>
      </c>
      <c r="R67" s="45">
        <v>60</v>
      </c>
      <c r="S67" s="45">
        <v>60</v>
      </c>
      <c r="T67" s="45">
        <v>60</v>
      </c>
      <c r="U67" s="45">
        <v>60</v>
      </c>
      <c r="V67" s="45">
        <v>60</v>
      </c>
      <c r="W67" s="45">
        <v>60</v>
      </c>
      <c r="X67" s="45">
        <v>60</v>
      </c>
      <c r="Y67" s="45">
        <v>60</v>
      </c>
      <c r="Z67" s="45">
        <v>60</v>
      </c>
      <c r="AA67" s="45">
        <v>60</v>
      </c>
      <c r="AB67" s="45">
        <v>60</v>
      </c>
      <c r="AC67" s="45">
        <v>60</v>
      </c>
      <c r="AD67" s="45">
        <v>60</v>
      </c>
      <c r="AE67" s="45">
        <v>60</v>
      </c>
      <c r="AF67" s="45">
        <v>60</v>
      </c>
      <c r="AG67" s="45">
        <v>60</v>
      </c>
      <c r="AH67" s="124">
        <v>60</v>
      </c>
      <c r="AI67" s="39" t="e">
        <f>Riskregister!#REF!</f>
        <v>#REF!</v>
      </c>
      <c r="AJ67" s="40" t="e">
        <f>Riskregister!#REF!</f>
        <v>#REF!</v>
      </c>
    </row>
    <row r="68" spans="1:36" x14ac:dyDescent="0.3">
      <c r="A68" s="32" t="e">
        <f>Riskregister!#REF!</f>
        <v>#REF!</v>
      </c>
      <c r="B68" s="32" t="e">
        <f>Riskregister!#REF!</f>
        <v>#REF!</v>
      </c>
      <c r="C68" s="33" t="e">
        <f>Riskregister!#REF!</f>
        <v>#REF!</v>
      </c>
      <c r="D68" s="34" t="e">
        <f>Riskregister!#REF!</f>
        <v>#REF!</v>
      </c>
      <c r="E68" s="34" t="e">
        <f>Riskregister!#REF!</f>
        <v>#REF!</v>
      </c>
      <c r="F68" s="35"/>
      <c r="G68" s="35"/>
      <c r="H68" s="35"/>
      <c r="I68" s="36"/>
      <c r="J68" s="44">
        <v>60</v>
      </c>
      <c r="K68" s="45">
        <v>60</v>
      </c>
      <c r="L68" s="45">
        <v>60</v>
      </c>
      <c r="M68" s="45">
        <v>60</v>
      </c>
      <c r="N68" s="45">
        <v>60</v>
      </c>
      <c r="O68" s="45">
        <v>60</v>
      </c>
      <c r="P68" s="45">
        <v>60</v>
      </c>
      <c r="Q68" s="45">
        <v>60</v>
      </c>
      <c r="R68" s="45">
        <v>60</v>
      </c>
      <c r="S68" s="45">
        <v>60</v>
      </c>
      <c r="T68" s="45">
        <v>60</v>
      </c>
      <c r="U68" s="45">
        <v>60</v>
      </c>
      <c r="V68" s="45">
        <v>60</v>
      </c>
      <c r="W68" s="45">
        <v>60</v>
      </c>
      <c r="X68" s="45">
        <v>60</v>
      </c>
      <c r="Y68" s="45">
        <v>60</v>
      </c>
      <c r="Z68" s="45">
        <v>60</v>
      </c>
      <c r="AA68" s="45">
        <v>60</v>
      </c>
      <c r="AB68" s="45">
        <v>60</v>
      </c>
      <c r="AC68" s="45">
        <v>60</v>
      </c>
      <c r="AD68" s="45">
        <v>60</v>
      </c>
      <c r="AE68" s="45">
        <v>60</v>
      </c>
      <c r="AF68" s="45">
        <v>60</v>
      </c>
      <c r="AG68" s="45">
        <v>60</v>
      </c>
      <c r="AH68" s="124">
        <v>60</v>
      </c>
      <c r="AI68" s="39" t="e">
        <f>Riskregister!#REF!</f>
        <v>#REF!</v>
      </c>
      <c r="AJ68" s="40" t="e">
        <f>Riskregister!#REF!</f>
        <v>#REF!</v>
      </c>
    </row>
    <row r="69" spans="1:36" x14ac:dyDescent="0.3">
      <c r="A69" s="32" t="e">
        <f>Riskregister!#REF!</f>
        <v>#REF!</v>
      </c>
      <c r="B69" s="32" t="e">
        <f>Riskregister!#REF!</f>
        <v>#REF!</v>
      </c>
      <c r="C69" s="33" t="e">
        <f>Riskregister!#REF!</f>
        <v>#REF!</v>
      </c>
      <c r="D69" s="34" t="e">
        <f>Riskregister!#REF!</f>
        <v>#REF!</v>
      </c>
      <c r="E69" s="34" t="e">
        <f>Riskregister!#REF!</f>
        <v>#REF!</v>
      </c>
      <c r="F69" s="35"/>
      <c r="G69" s="35"/>
      <c r="H69" s="35"/>
      <c r="I69" s="36"/>
      <c r="J69" s="44">
        <v>60</v>
      </c>
      <c r="K69" s="45">
        <v>60</v>
      </c>
      <c r="L69" s="45">
        <v>60</v>
      </c>
      <c r="M69" s="45">
        <v>60</v>
      </c>
      <c r="N69" s="45">
        <v>60</v>
      </c>
      <c r="O69" s="45">
        <v>60</v>
      </c>
      <c r="P69" s="45">
        <v>60</v>
      </c>
      <c r="Q69" s="45">
        <v>60</v>
      </c>
      <c r="R69" s="45">
        <v>60</v>
      </c>
      <c r="S69" s="45">
        <v>60</v>
      </c>
      <c r="T69" s="45">
        <v>60</v>
      </c>
      <c r="U69" s="45">
        <v>60</v>
      </c>
      <c r="V69" s="45">
        <v>60</v>
      </c>
      <c r="W69" s="45">
        <v>60</v>
      </c>
      <c r="X69" s="45">
        <v>60</v>
      </c>
      <c r="Y69" s="45">
        <v>60</v>
      </c>
      <c r="Z69" s="45">
        <v>60</v>
      </c>
      <c r="AA69" s="45">
        <v>60</v>
      </c>
      <c r="AB69" s="45">
        <v>60</v>
      </c>
      <c r="AC69" s="45">
        <v>60</v>
      </c>
      <c r="AD69" s="45">
        <v>60</v>
      </c>
      <c r="AE69" s="45">
        <v>60</v>
      </c>
      <c r="AF69" s="45">
        <v>60</v>
      </c>
      <c r="AG69" s="45">
        <v>60</v>
      </c>
      <c r="AH69" s="124">
        <v>60</v>
      </c>
      <c r="AI69" s="39" t="e">
        <f>Riskregister!#REF!</f>
        <v>#REF!</v>
      </c>
      <c r="AJ69" s="40" t="e">
        <f>Riskregister!#REF!</f>
        <v>#REF!</v>
      </c>
    </row>
    <row r="70" spans="1:36" x14ac:dyDescent="0.3">
      <c r="A70" s="32" t="e">
        <f>Riskregister!#REF!</f>
        <v>#REF!</v>
      </c>
      <c r="B70" s="32" t="e">
        <f>Riskregister!#REF!</f>
        <v>#REF!</v>
      </c>
      <c r="C70" s="33" t="e">
        <f>Riskregister!#REF!</f>
        <v>#REF!</v>
      </c>
      <c r="D70" s="34" t="e">
        <f>Riskregister!#REF!</f>
        <v>#REF!</v>
      </c>
      <c r="E70" s="34" t="e">
        <f>Riskregister!#REF!</f>
        <v>#REF!</v>
      </c>
      <c r="F70" s="35"/>
      <c r="G70" s="35"/>
      <c r="H70" s="35"/>
      <c r="I70" s="36"/>
      <c r="J70" s="44">
        <v>60</v>
      </c>
      <c r="K70" s="45">
        <v>60</v>
      </c>
      <c r="L70" s="45">
        <v>60</v>
      </c>
      <c r="M70" s="45">
        <v>60</v>
      </c>
      <c r="N70" s="45">
        <v>60</v>
      </c>
      <c r="O70" s="45">
        <v>60</v>
      </c>
      <c r="P70" s="45">
        <v>60</v>
      </c>
      <c r="Q70" s="45">
        <v>60</v>
      </c>
      <c r="R70" s="45">
        <v>60</v>
      </c>
      <c r="S70" s="45">
        <v>60</v>
      </c>
      <c r="T70" s="45">
        <v>60</v>
      </c>
      <c r="U70" s="45">
        <v>60</v>
      </c>
      <c r="V70" s="45">
        <v>60</v>
      </c>
      <c r="W70" s="45">
        <v>60</v>
      </c>
      <c r="X70" s="45">
        <v>60</v>
      </c>
      <c r="Y70" s="45">
        <v>60</v>
      </c>
      <c r="Z70" s="45">
        <v>60</v>
      </c>
      <c r="AA70" s="45">
        <v>60</v>
      </c>
      <c r="AB70" s="45">
        <v>60</v>
      </c>
      <c r="AC70" s="45">
        <v>60</v>
      </c>
      <c r="AD70" s="45">
        <v>60</v>
      </c>
      <c r="AE70" s="45">
        <v>60</v>
      </c>
      <c r="AF70" s="45">
        <v>60</v>
      </c>
      <c r="AG70" s="45">
        <v>60</v>
      </c>
      <c r="AH70" s="124">
        <v>60</v>
      </c>
      <c r="AI70" s="39" t="e">
        <f>Riskregister!#REF!</f>
        <v>#REF!</v>
      </c>
      <c r="AJ70" s="40" t="e">
        <f>Riskregister!#REF!</f>
        <v>#REF!</v>
      </c>
    </row>
    <row r="71" spans="1:36" x14ac:dyDescent="0.3">
      <c r="A71" s="32" t="e">
        <f>Riskregister!#REF!</f>
        <v>#REF!</v>
      </c>
      <c r="B71" s="32" t="e">
        <f>Riskregister!#REF!</f>
        <v>#REF!</v>
      </c>
      <c r="C71" s="33" t="e">
        <f>Riskregister!#REF!</f>
        <v>#REF!</v>
      </c>
      <c r="D71" s="34" t="e">
        <f>Riskregister!#REF!</f>
        <v>#REF!</v>
      </c>
      <c r="E71" s="34" t="e">
        <f>Riskregister!#REF!</f>
        <v>#REF!</v>
      </c>
      <c r="F71" s="35"/>
      <c r="G71" s="35"/>
      <c r="H71" s="35"/>
      <c r="I71" s="36"/>
      <c r="J71" s="44">
        <v>60</v>
      </c>
      <c r="K71" s="45">
        <v>60</v>
      </c>
      <c r="L71" s="45">
        <v>60</v>
      </c>
      <c r="M71" s="45">
        <v>60</v>
      </c>
      <c r="N71" s="45">
        <v>60</v>
      </c>
      <c r="O71" s="45">
        <v>60</v>
      </c>
      <c r="P71" s="45">
        <v>60</v>
      </c>
      <c r="Q71" s="45">
        <v>60</v>
      </c>
      <c r="R71" s="45">
        <v>60</v>
      </c>
      <c r="S71" s="45">
        <v>60</v>
      </c>
      <c r="T71" s="45">
        <v>60</v>
      </c>
      <c r="U71" s="45">
        <v>60</v>
      </c>
      <c r="V71" s="45">
        <v>60</v>
      </c>
      <c r="W71" s="45">
        <v>60</v>
      </c>
      <c r="X71" s="45">
        <v>60</v>
      </c>
      <c r="Y71" s="45">
        <v>60</v>
      </c>
      <c r="Z71" s="45">
        <v>60</v>
      </c>
      <c r="AA71" s="45">
        <v>60</v>
      </c>
      <c r="AB71" s="45">
        <v>60</v>
      </c>
      <c r="AC71" s="45">
        <v>60</v>
      </c>
      <c r="AD71" s="45">
        <v>60</v>
      </c>
      <c r="AE71" s="45">
        <v>60</v>
      </c>
      <c r="AF71" s="45">
        <v>60</v>
      </c>
      <c r="AG71" s="45">
        <v>60</v>
      </c>
      <c r="AH71" s="124">
        <v>60</v>
      </c>
      <c r="AI71" s="39" t="e">
        <f>Riskregister!#REF!</f>
        <v>#REF!</v>
      </c>
      <c r="AJ71" s="40" t="e">
        <f>Riskregister!#REF!</f>
        <v>#REF!</v>
      </c>
    </row>
    <row r="72" spans="1:36" x14ac:dyDescent="0.3">
      <c r="A72" s="32" t="e">
        <f>Riskregister!#REF!</f>
        <v>#REF!</v>
      </c>
      <c r="B72" s="32" t="e">
        <f>Riskregister!#REF!</f>
        <v>#REF!</v>
      </c>
      <c r="C72" s="33" t="e">
        <f>Riskregister!#REF!</f>
        <v>#REF!</v>
      </c>
      <c r="D72" s="34" t="e">
        <f>Riskregister!#REF!</f>
        <v>#REF!</v>
      </c>
      <c r="E72" s="34" t="e">
        <f>Riskregister!#REF!</f>
        <v>#REF!</v>
      </c>
      <c r="F72" s="35"/>
      <c r="G72" s="35"/>
      <c r="H72" s="35"/>
      <c r="I72" s="36"/>
      <c r="J72" s="44">
        <v>60</v>
      </c>
      <c r="K72" s="45">
        <v>60</v>
      </c>
      <c r="L72" s="45">
        <v>60</v>
      </c>
      <c r="M72" s="45">
        <v>60</v>
      </c>
      <c r="N72" s="45">
        <v>60</v>
      </c>
      <c r="O72" s="45">
        <v>60</v>
      </c>
      <c r="P72" s="45">
        <v>60</v>
      </c>
      <c r="Q72" s="45">
        <v>60</v>
      </c>
      <c r="R72" s="45">
        <v>60</v>
      </c>
      <c r="S72" s="45">
        <v>60</v>
      </c>
      <c r="T72" s="45">
        <v>60</v>
      </c>
      <c r="U72" s="45">
        <v>60</v>
      </c>
      <c r="V72" s="45">
        <v>60</v>
      </c>
      <c r="W72" s="45">
        <v>60</v>
      </c>
      <c r="X72" s="45">
        <v>60</v>
      </c>
      <c r="Y72" s="45">
        <v>60</v>
      </c>
      <c r="Z72" s="45">
        <v>60</v>
      </c>
      <c r="AA72" s="45">
        <v>60</v>
      </c>
      <c r="AB72" s="45">
        <v>60</v>
      </c>
      <c r="AC72" s="45">
        <v>60</v>
      </c>
      <c r="AD72" s="45">
        <v>60</v>
      </c>
      <c r="AE72" s="45">
        <v>60</v>
      </c>
      <c r="AF72" s="45">
        <v>60</v>
      </c>
      <c r="AG72" s="45">
        <v>60</v>
      </c>
      <c r="AH72" s="124">
        <v>60</v>
      </c>
      <c r="AI72" s="39" t="e">
        <f>Riskregister!#REF!</f>
        <v>#REF!</v>
      </c>
      <c r="AJ72" s="40" t="e">
        <f>Riskregister!#REF!</f>
        <v>#REF!</v>
      </c>
    </row>
    <row r="73" spans="1:36" x14ac:dyDescent="0.3">
      <c r="A73" s="32" t="e">
        <f>Riskregister!#REF!</f>
        <v>#REF!</v>
      </c>
      <c r="B73" s="32" t="e">
        <f>Riskregister!#REF!</f>
        <v>#REF!</v>
      </c>
      <c r="C73" s="33" t="e">
        <f>Riskregister!#REF!</f>
        <v>#REF!</v>
      </c>
      <c r="D73" s="34" t="e">
        <f>Riskregister!#REF!</f>
        <v>#REF!</v>
      </c>
      <c r="E73" s="34" t="e">
        <f>Riskregister!#REF!</f>
        <v>#REF!</v>
      </c>
      <c r="F73" s="35"/>
      <c r="G73" s="35"/>
      <c r="H73" s="35"/>
      <c r="I73" s="36"/>
      <c r="J73" s="44">
        <v>60</v>
      </c>
      <c r="K73" s="45">
        <v>60</v>
      </c>
      <c r="L73" s="45">
        <v>60</v>
      </c>
      <c r="M73" s="45">
        <v>60</v>
      </c>
      <c r="N73" s="45">
        <v>60</v>
      </c>
      <c r="O73" s="45">
        <v>60</v>
      </c>
      <c r="P73" s="45">
        <v>60</v>
      </c>
      <c r="Q73" s="45">
        <v>60</v>
      </c>
      <c r="R73" s="45">
        <v>60</v>
      </c>
      <c r="S73" s="45">
        <v>60</v>
      </c>
      <c r="T73" s="45">
        <v>60</v>
      </c>
      <c r="U73" s="45">
        <v>60</v>
      </c>
      <c r="V73" s="45">
        <v>60</v>
      </c>
      <c r="W73" s="45">
        <v>60</v>
      </c>
      <c r="X73" s="45">
        <v>60</v>
      </c>
      <c r="Y73" s="45">
        <v>60</v>
      </c>
      <c r="Z73" s="45">
        <v>60</v>
      </c>
      <c r="AA73" s="45">
        <v>60</v>
      </c>
      <c r="AB73" s="45">
        <v>60</v>
      </c>
      <c r="AC73" s="45">
        <v>60</v>
      </c>
      <c r="AD73" s="45">
        <v>60</v>
      </c>
      <c r="AE73" s="45">
        <v>60</v>
      </c>
      <c r="AF73" s="45">
        <v>60</v>
      </c>
      <c r="AG73" s="45">
        <v>60</v>
      </c>
      <c r="AH73" s="124">
        <v>60</v>
      </c>
      <c r="AI73" s="39" t="e">
        <f>Riskregister!#REF!</f>
        <v>#REF!</v>
      </c>
      <c r="AJ73" s="40" t="e">
        <f>Riskregister!#REF!</f>
        <v>#REF!</v>
      </c>
    </row>
    <row r="74" spans="1:36" x14ac:dyDescent="0.3">
      <c r="A74" s="32" t="e">
        <f>Riskregister!#REF!</f>
        <v>#REF!</v>
      </c>
      <c r="B74" s="32" t="e">
        <f>Riskregister!#REF!</f>
        <v>#REF!</v>
      </c>
      <c r="C74" s="33" t="e">
        <f>Riskregister!#REF!</f>
        <v>#REF!</v>
      </c>
      <c r="D74" s="34" t="e">
        <f>Riskregister!#REF!</f>
        <v>#REF!</v>
      </c>
      <c r="E74" s="34" t="e">
        <f>Riskregister!#REF!</f>
        <v>#REF!</v>
      </c>
      <c r="F74" s="35"/>
      <c r="G74" s="35"/>
      <c r="H74" s="35"/>
      <c r="I74" s="36"/>
      <c r="J74" s="44">
        <v>60</v>
      </c>
      <c r="K74" s="45">
        <v>60</v>
      </c>
      <c r="L74" s="45">
        <v>60</v>
      </c>
      <c r="M74" s="45">
        <v>60</v>
      </c>
      <c r="N74" s="45">
        <v>60</v>
      </c>
      <c r="O74" s="45">
        <v>60</v>
      </c>
      <c r="P74" s="45">
        <v>60</v>
      </c>
      <c r="Q74" s="45">
        <v>60</v>
      </c>
      <c r="R74" s="45">
        <v>60</v>
      </c>
      <c r="S74" s="45">
        <v>60</v>
      </c>
      <c r="T74" s="45">
        <v>60</v>
      </c>
      <c r="U74" s="45">
        <v>60</v>
      </c>
      <c r="V74" s="45">
        <v>60</v>
      </c>
      <c r="W74" s="45">
        <v>60</v>
      </c>
      <c r="X74" s="45">
        <v>60</v>
      </c>
      <c r="Y74" s="45">
        <v>60</v>
      </c>
      <c r="Z74" s="45">
        <v>60</v>
      </c>
      <c r="AA74" s="45">
        <v>60</v>
      </c>
      <c r="AB74" s="45">
        <v>60</v>
      </c>
      <c r="AC74" s="45">
        <v>60</v>
      </c>
      <c r="AD74" s="45">
        <v>60</v>
      </c>
      <c r="AE74" s="45">
        <v>60</v>
      </c>
      <c r="AF74" s="45">
        <v>60</v>
      </c>
      <c r="AG74" s="45">
        <v>60</v>
      </c>
      <c r="AH74" s="124">
        <v>60</v>
      </c>
      <c r="AI74" s="39" t="e">
        <f>Riskregister!#REF!</f>
        <v>#REF!</v>
      </c>
      <c r="AJ74" s="40" t="e">
        <f>Riskregister!#REF!</f>
        <v>#REF!</v>
      </c>
    </row>
    <row r="75" spans="1:36" x14ac:dyDescent="0.3">
      <c r="A75" s="32" t="e">
        <f>Riskregister!#REF!</f>
        <v>#REF!</v>
      </c>
      <c r="B75" s="32" t="e">
        <f>Riskregister!#REF!</f>
        <v>#REF!</v>
      </c>
      <c r="C75" s="33" t="e">
        <f>Riskregister!#REF!</f>
        <v>#REF!</v>
      </c>
      <c r="D75" s="34" t="e">
        <f>Riskregister!#REF!</f>
        <v>#REF!</v>
      </c>
      <c r="E75" s="34" t="e">
        <f>Riskregister!#REF!</f>
        <v>#REF!</v>
      </c>
      <c r="F75" s="35"/>
      <c r="G75" s="35"/>
      <c r="H75" s="35"/>
      <c r="I75" s="36"/>
      <c r="J75" s="44">
        <v>60</v>
      </c>
      <c r="K75" s="45">
        <v>60</v>
      </c>
      <c r="L75" s="45">
        <v>60</v>
      </c>
      <c r="M75" s="45">
        <v>60</v>
      </c>
      <c r="N75" s="45">
        <v>60</v>
      </c>
      <c r="O75" s="45">
        <v>60</v>
      </c>
      <c r="P75" s="45">
        <v>60</v>
      </c>
      <c r="Q75" s="45">
        <v>60</v>
      </c>
      <c r="R75" s="45">
        <v>60</v>
      </c>
      <c r="S75" s="45">
        <v>60</v>
      </c>
      <c r="T75" s="45">
        <v>60</v>
      </c>
      <c r="U75" s="45">
        <v>60</v>
      </c>
      <c r="V75" s="45">
        <v>60</v>
      </c>
      <c r="W75" s="45">
        <v>60</v>
      </c>
      <c r="X75" s="45">
        <v>60</v>
      </c>
      <c r="Y75" s="45">
        <v>60</v>
      </c>
      <c r="Z75" s="45">
        <v>60</v>
      </c>
      <c r="AA75" s="45">
        <v>60</v>
      </c>
      <c r="AB75" s="45">
        <v>60</v>
      </c>
      <c r="AC75" s="45">
        <v>60</v>
      </c>
      <c r="AD75" s="45">
        <v>60</v>
      </c>
      <c r="AE75" s="45">
        <v>60</v>
      </c>
      <c r="AF75" s="45">
        <v>60</v>
      </c>
      <c r="AG75" s="45">
        <v>60</v>
      </c>
      <c r="AH75" s="124">
        <v>60</v>
      </c>
      <c r="AI75" s="39" t="e">
        <f>Riskregister!#REF!</f>
        <v>#REF!</v>
      </c>
      <c r="AJ75" s="40" t="e">
        <f>Riskregister!#REF!</f>
        <v>#REF!</v>
      </c>
    </row>
    <row r="76" spans="1:36" x14ac:dyDescent="0.3">
      <c r="A76" s="32" t="e">
        <f>Riskregister!#REF!</f>
        <v>#REF!</v>
      </c>
      <c r="B76" s="32" t="e">
        <f>Riskregister!#REF!</f>
        <v>#REF!</v>
      </c>
      <c r="C76" s="33" t="e">
        <f>Riskregister!#REF!</f>
        <v>#REF!</v>
      </c>
      <c r="D76" s="34" t="e">
        <f>Riskregister!#REF!</f>
        <v>#REF!</v>
      </c>
      <c r="E76" s="34" t="e">
        <f>Riskregister!#REF!</f>
        <v>#REF!</v>
      </c>
      <c r="F76" s="35"/>
      <c r="G76" s="35"/>
      <c r="H76" s="35"/>
      <c r="I76" s="36"/>
      <c r="J76" s="44">
        <v>60</v>
      </c>
      <c r="K76" s="45">
        <v>60</v>
      </c>
      <c r="L76" s="45">
        <v>60</v>
      </c>
      <c r="M76" s="45">
        <v>60</v>
      </c>
      <c r="N76" s="45">
        <v>60</v>
      </c>
      <c r="O76" s="45">
        <v>60</v>
      </c>
      <c r="P76" s="45">
        <v>60</v>
      </c>
      <c r="Q76" s="45">
        <v>60</v>
      </c>
      <c r="R76" s="45">
        <v>60</v>
      </c>
      <c r="S76" s="45">
        <v>60</v>
      </c>
      <c r="T76" s="45">
        <v>60</v>
      </c>
      <c r="U76" s="45">
        <v>60</v>
      </c>
      <c r="V76" s="45">
        <v>60</v>
      </c>
      <c r="W76" s="45">
        <v>60</v>
      </c>
      <c r="X76" s="45">
        <v>60</v>
      </c>
      <c r="Y76" s="45">
        <v>60</v>
      </c>
      <c r="Z76" s="45">
        <v>60</v>
      </c>
      <c r="AA76" s="45">
        <v>60</v>
      </c>
      <c r="AB76" s="45">
        <v>60</v>
      </c>
      <c r="AC76" s="45">
        <v>60</v>
      </c>
      <c r="AD76" s="45">
        <v>60</v>
      </c>
      <c r="AE76" s="45">
        <v>60</v>
      </c>
      <c r="AF76" s="45">
        <v>60</v>
      </c>
      <c r="AG76" s="45">
        <v>60</v>
      </c>
      <c r="AH76" s="124">
        <v>60</v>
      </c>
      <c r="AI76" s="39" t="e">
        <f>Riskregister!#REF!</f>
        <v>#REF!</v>
      </c>
      <c r="AJ76" s="40" t="e">
        <f>Riskregister!#REF!</f>
        <v>#REF!</v>
      </c>
    </row>
    <row r="77" spans="1:36" x14ac:dyDescent="0.3">
      <c r="A77" s="32" t="e">
        <f>Riskregister!#REF!</f>
        <v>#REF!</v>
      </c>
      <c r="B77" s="32" t="e">
        <f>Riskregister!#REF!</f>
        <v>#REF!</v>
      </c>
      <c r="C77" s="33" t="e">
        <f>Riskregister!#REF!</f>
        <v>#REF!</v>
      </c>
      <c r="D77" s="34" t="e">
        <f>Riskregister!#REF!</f>
        <v>#REF!</v>
      </c>
      <c r="E77" s="34" t="e">
        <f>Riskregister!#REF!</f>
        <v>#REF!</v>
      </c>
      <c r="F77" s="35"/>
      <c r="G77" s="35"/>
      <c r="H77" s="35"/>
      <c r="I77" s="36"/>
      <c r="J77" s="44">
        <v>60</v>
      </c>
      <c r="K77" s="45">
        <v>60</v>
      </c>
      <c r="L77" s="45">
        <v>60</v>
      </c>
      <c r="M77" s="45">
        <v>60</v>
      </c>
      <c r="N77" s="45">
        <v>60</v>
      </c>
      <c r="O77" s="45">
        <v>60</v>
      </c>
      <c r="P77" s="45">
        <v>60</v>
      </c>
      <c r="Q77" s="45">
        <v>60</v>
      </c>
      <c r="R77" s="45">
        <v>60</v>
      </c>
      <c r="S77" s="45">
        <v>60</v>
      </c>
      <c r="T77" s="45">
        <v>60</v>
      </c>
      <c r="U77" s="45">
        <v>60</v>
      </c>
      <c r="V77" s="45">
        <v>60</v>
      </c>
      <c r="W77" s="45">
        <v>60</v>
      </c>
      <c r="X77" s="45">
        <v>60</v>
      </c>
      <c r="Y77" s="45">
        <v>60</v>
      </c>
      <c r="Z77" s="45">
        <v>60</v>
      </c>
      <c r="AA77" s="45">
        <v>60</v>
      </c>
      <c r="AB77" s="45">
        <v>60</v>
      </c>
      <c r="AC77" s="45">
        <v>60</v>
      </c>
      <c r="AD77" s="45">
        <v>60</v>
      </c>
      <c r="AE77" s="45">
        <v>60</v>
      </c>
      <c r="AF77" s="45">
        <v>60</v>
      </c>
      <c r="AG77" s="45">
        <v>60</v>
      </c>
      <c r="AH77" s="124">
        <v>60</v>
      </c>
      <c r="AI77" s="39" t="e">
        <f>Riskregister!#REF!</f>
        <v>#REF!</v>
      </c>
      <c r="AJ77" s="40" t="e">
        <f>Riskregister!#REF!</f>
        <v>#REF!</v>
      </c>
    </row>
    <row r="78" spans="1:36" x14ac:dyDescent="0.3">
      <c r="A78" s="32" t="e">
        <f>Riskregister!#REF!</f>
        <v>#REF!</v>
      </c>
      <c r="B78" s="32" t="e">
        <f>Riskregister!#REF!</f>
        <v>#REF!</v>
      </c>
      <c r="C78" s="33" t="e">
        <f>Riskregister!#REF!</f>
        <v>#REF!</v>
      </c>
      <c r="D78" s="34" t="e">
        <f>Riskregister!#REF!</f>
        <v>#REF!</v>
      </c>
      <c r="E78" s="34" t="e">
        <f>Riskregister!#REF!</f>
        <v>#REF!</v>
      </c>
      <c r="F78" s="35"/>
      <c r="G78" s="35"/>
      <c r="H78" s="35"/>
      <c r="I78" s="36"/>
      <c r="J78" s="44">
        <v>60</v>
      </c>
      <c r="K78" s="45">
        <v>60</v>
      </c>
      <c r="L78" s="45">
        <v>60</v>
      </c>
      <c r="M78" s="45">
        <v>60</v>
      </c>
      <c r="N78" s="45">
        <v>60</v>
      </c>
      <c r="O78" s="45">
        <v>60</v>
      </c>
      <c r="P78" s="45">
        <v>60</v>
      </c>
      <c r="Q78" s="45">
        <v>60</v>
      </c>
      <c r="R78" s="45">
        <v>60</v>
      </c>
      <c r="S78" s="45">
        <v>60</v>
      </c>
      <c r="T78" s="45">
        <v>60</v>
      </c>
      <c r="U78" s="45">
        <v>60</v>
      </c>
      <c r="V78" s="45">
        <v>60</v>
      </c>
      <c r="W78" s="45">
        <v>60</v>
      </c>
      <c r="X78" s="45">
        <v>60</v>
      </c>
      <c r="Y78" s="45">
        <v>60</v>
      </c>
      <c r="Z78" s="45">
        <v>60</v>
      </c>
      <c r="AA78" s="45">
        <v>60</v>
      </c>
      <c r="AB78" s="45">
        <v>60</v>
      </c>
      <c r="AC78" s="45">
        <v>60</v>
      </c>
      <c r="AD78" s="45">
        <v>60</v>
      </c>
      <c r="AE78" s="45">
        <v>60</v>
      </c>
      <c r="AF78" s="45">
        <v>60</v>
      </c>
      <c r="AG78" s="45">
        <v>60</v>
      </c>
      <c r="AH78" s="124">
        <v>60</v>
      </c>
      <c r="AI78" s="39" t="e">
        <f>Riskregister!#REF!</f>
        <v>#REF!</v>
      </c>
      <c r="AJ78" s="40" t="e">
        <f>Riskregister!#REF!</f>
        <v>#REF!</v>
      </c>
    </row>
    <row r="79" spans="1:36" x14ac:dyDescent="0.3">
      <c r="A79" s="32" t="e">
        <f>Riskregister!#REF!</f>
        <v>#REF!</v>
      </c>
      <c r="B79" s="32" t="e">
        <f>Riskregister!#REF!</f>
        <v>#REF!</v>
      </c>
      <c r="C79" s="33" t="e">
        <f>Riskregister!#REF!</f>
        <v>#REF!</v>
      </c>
      <c r="D79" s="34" t="e">
        <f>Riskregister!#REF!</f>
        <v>#REF!</v>
      </c>
      <c r="E79" s="34" t="e">
        <f>Riskregister!#REF!</f>
        <v>#REF!</v>
      </c>
      <c r="F79" s="35"/>
      <c r="G79" s="35"/>
      <c r="H79" s="35"/>
      <c r="I79" s="36"/>
      <c r="J79" s="44">
        <v>60</v>
      </c>
      <c r="K79" s="45">
        <v>60</v>
      </c>
      <c r="L79" s="45">
        <v>60</v>
      </c>
      <c r="M79" s="45">
        <v>60</v>
      </c>
      <c r="N79" s="45">
        <v>60</v>
      </c>
      <c r="O79" s="45">
        <v>60</v>
      </c>
      <c r="P79" s="45">
        <v>60</v>
      </c>
      <c r="Q79" s="45">
        <v>60</v>
      </c>
      <c r="R79" s="45">
        <v>60</v>
      </c>
      <c r="S79" s="45">
        <v>60</v>
      </c>
      <c r="T79" s="45">
        <v>60</v>
      </c>
      <c r="U79" s="45">
        <v>60</v>
      </c>
      <c r="V79" s="45">
        <v>60</v>
      </c>
      <c r="W79" s="45">
        <v>60</v>
      </c>
      <c r="X79" s="45">
        <v>60</v>
      </c>
      <c r="Y79" s="45">
        <v>60</v>
      </c>
      <c r="Z79" s="45">
        <v>60</v>
      </c>
      <c r="AA79" s="45">
        <v>60</v>
      </c>
      <c r="AB79" s="45">
        <v>60</v>
      </c>
      <c r="AC79" s="45">
        <v>60</v>
      </c>
      <c r="AD79" s="45">
        <v>60</v>
      </c>
      <c r="AE79" s="45">
        <v>60</v>
      </c>
      <c r="AF79" s="45">
        <v>60</v>
      </c>
      <c r="AG79" s="45">
        <v>60</v>
      </c>
      <c r="AH79" s="124">
        <v>60</v>
      </c>
      <c r="AI79" s="39" t="e">
        <f>Riskregister!#REF!</f>
        <v>#REF!</v>
      </c>
      <c r="AJ79" s="40" t="e">
        <f>Riskregister!#REF!</f>
        <v>#REF!</v>
      </c>
    </row>
    <row r="80" spans="1:36" x14ac:dyDescent="0.3">
      <c r="A80" s="32" t="e">
        <f>Riskregister!#REF!</f>
        <v>#REF!</v>
      </c>
      <c r="B80" s="32" t="e">
        <f>Riskregister!#REF!</f>
        <v>#REF!</v>
      </c>
      <c r="C80" s="33" t="e">
        <f>Riskregister!#REF!</f>
        <v>#REF!</v>
      </c>
      <c r="D80" s="34" t="e">
        <f>Riskregister!#REF!</f>
        <v>#REF!</v>
      </c>
      <c r="E80" s="34" t="e">
        <f>Riskregister!#REF!</f>
        <v>#REF!</v>
      </c>
      <c r="F80" s="35"/>
      <c r="G80" s="35"/>
      <c r="H80" s="35"/>
      <c r="I80" s="36"/>
      <c r="J80" s="44">
        <v>60</v>
      </c>
      <c r="K80" s="45">
        <v>60</v>
      </c>
      <c r="L80" s="45">
        <v>60</v>
      </c>
      <c r="M80" s="45">
        <v>60</v>
      </c>
      <c r="N80" s="45">
        <v>60</v>
      </c>
      <c r="O80" s="45">
        <v>60</v>
      </c>
      <c r="P80" s="45">
        <v>60</v>
      </c>
      <c r="Q80" s="45">
        <v>60</v>
      </c>
      <c r="R80" s="45">
        <v>60</v>
      </c>
      <c r="S80" s="45">
        <v>60</v>
      </c>
      <c r="T80" s="45">
        <v>60</v>
      </c>
      <c r="U80" s="45">
        <v>60</v>
      </c>
      <c r="V80" s="45">
        <v>60</v>
      </c>
      <c r="W80" s="45">
        <v>60</v>
      </c>
      <c r="X80" s="45">
        <v>60</v>
      </c>
      <c r="Y80" s="45">
        <v>60</v>
      </c>
      <c r="Z80" s="45">
        <v>60</v>
      </c>
      <c r="AA80" s="45">
        <v>60</v>
      </c>
      <c r="AB80" s="45">
        <v>60</v>
      </c>
      <c r="AC80" s="45">
        <v>60</v>
      </c>
      <c r="AD80" s="45">
        <v>60</v>
      </c>
      <c r="AE80" s="45">
        <v>60</v>
      </c>
      <c r="AF80" s="45">
        <v>60</v>
      </c>
      <c r="AG80" s="45">
        <v>60</v>
      </c>
      <c r="AH80" s="124">
        <v>60</v>
      </c>
      <c r="AI80" s="39" t="e">
        <f>Riskregister!#REF!</f>
        <v>#REF!</v>
      </c>
      <c r="AJ80" s="40" t="e">
        <f>Riskregister!#REF!</f>
        <v>#REF!</v>
      </c>
    </row>
    <row r="81" spans="1:36" x14ac:dyDescent="0.3">
      <c r="A81" s="32" t="e">
        <f>Riskregister!#REF!</f>
        <v>#REF!</v>
      </c>
      <c r="B81" s="32" t="e">
        <f>Riskregister!#REF!</f>
        <v>#REF!</v>
      </c>
      <c r="C81" s="33" t="e">
        <f>Riskregister!#REF!</f>
        <v>#REF!</v>
      </c>
      <c r="D81" s="34" t="e">
        <f>Riskregister!#REF!</f>
        <v>#REF!</v>
      </c>
      <c r="E81" s="34" t="e">
        <f>Riskregister!#REF!</f>
        <v>#REF!</v>
      </c>
      <c r="F81" s="35"/>
      <c r="G81" s="35"/>
      <c r="H81" s="35"/>
      <c r="I81" s="36"/>
      <c r="J81" s="44">
        <v>60</v>
      </c>
      <c r="K81" s="45">
        <v>60</v>
      </c>
      <c r="L81" s="45">
        <v>60</v>
      </c>
      <c r="M81" s="45">
        <v>60</v>
      </c>
      <c r="N81" s="45">
        <v>60</v>
      </c>
      <c r="O81" s="45">
        <v>60</v>
      </c>
      <c r="P81" s="45">
        <v>60</v>
      </c>
      <c r="Q81" s="45">
        <v>60</v>
      </c>
      <c r="R81" s="45">
        <v>60</v>
      </c>
      <c r="S81" s="45">
        <v>60</v>
      </c>
      <c r="T81" s="45">
        <v>60</v>
      </c>
      <c r="U81" s="45">
        <v>60</v>
      </c>
      <c r="V81" s="45">
        <v>60</v>
      </c>
      <c r="W81" s="45">
        <v>60</v>
      </c>
      <c r="X81" s="45">
        <v>60</v>
      </c>
      <c r="Y81" s="45">
        <v>60</v>
      </c>
      <c r="Z81" s="45">
        <v>60</v>
      </c>
      <c r="AA81" s="45">
        <v>60</v>
      </c>
      <c r="AB81" s="45">
        <v>60</v>
      </c>
      <c r="AC81" s="45">
        <v>60</v>
      </c>
      <c r="AD81" s="45">
        <v>60</v>
      </c>
      <c r="AE81" s="45">
        <v>60</v>
      </c>
      <c r="AF81" s="45">
        <v>60</v>
      </c>
      <c r="AG81" s="45">
        <v>60</v>
      </c>
      <c r="AH81" s="124">
        <v>60</v>
      </c>
      <c r="AI81" s="39" t="e">
        <f>Riskregister!#REF!</f>
        <v>#REF!</v>
      </c>
      <c r="AJ81" s="40" t="e">
        <f>Riskregister!#REF!</f>
        <v>#REF!</v>
      </c>
    </row>
    <row r="82" spans="1:36" x14ac:dyDescent="0.3">
      <c r="A82" s="32" t="e">
        <f>Riskregister!#REF!</f>
        <v>#REF!</v>
      </c>
      <c r="B82" s="32" t="e">
        <f>Riskregister!#REF!</f>
        <v>#REF!</v>
      </c>
      <c r="C82" s="33" t="e">
        <f>Riskregister!#REF!</f>
        <v>#REF!</v>
      </c>
      <c r="D82" s="34" t="e">
        <f>Riskregister!#REF!</f>
        <v>#REF!</v>
      </c>
      <c r="E82" s="34" t="e">
        <f>Riskregister!#REF!</f>
        <v>#REF!</v>
      </c>
      <c r="F82" s="35"/>
      <c r="G82" s="35"/>
      <c r="H82" s="35"/>
      <c r="I82" s="36"/>
      <c r="J82" s="44">
        <v>60</v>
      </c>
      <c r="K82" s="45">
        <v>60</v>
      </c>
      <c r="L82" s="45">
        <v>60</v>
      </c>
      <c r="M82" s="45">
        <v>60</v>
      </c>
      <c r="N82" s="45">
        <v>60</v>
      </c>
      <c r="O82" s="45">
        <v>60</v>
      </c>
      <c r="P82" s="45">
        <v>60</v>
      </c>
      <c r="Q82" s="45">
        <v>60</v>
      </c>
      <c r="R82" s="45">
        <v>60</v>
      </c>
      <c r="S82" s="45">
        <v>60</v>
      </c>
      <c r="T82" s="45">
        <v>60</v>
      </c>
      <c r="U82" s="45">
        <v>60</v>
      </c>
      <c r="V82" s="45">
        <v>60</v>
      </c>
      <c r="W82" s="45">
        <v>60</v>
      </c>
      <c r="X82" s="45">
        <v>60</v>
      </c>
      <c r="Y82" s="45">
        <v>60</v>
      </c>
      <c r="Z82" s="45">
        <v>60</v>
      </c>
      <c r="AA82" s="45">
        <v>60</v>
      </c>
      <c r="AB82" s="45">
        <v>60</v>
      </c>
      <c r="AC82" s="45">
        <v>60</v>
      </c>
      <c r="AD82" s="45">
        <v>60</v>
      </c>
      <c r="AE82" s="45">
        <v>60</v>
      </c>
      <c r="AF82" s="45">
        <v>60</v>
      </c>
      <c r="AG82" s="45">
        <v>60</v>
      </c>
      <c r="AH82" s="124">
        <v>60</v>
      </c>
      <c r="AI82" s="39" t="e">
        <f>Riskregister!#REF!</f>
        <v>#REF!</v>
      </c>
      <c r="AJ82" s="40" t="e">
        <f>Riskregister!#REF!</f>
        <v>#REF!</v>
      </c>
    </row>
    <row r="83" spans="1:36" x14ac:dyDescent="0.3">
      <c r="A83" s="32" t="e">
        <f>Riskregister!#REF!</f>
        <v>#REF!</v>
      </c>
      <c r="B83" s="32" t="e">
        <f>Riskregister!#REF!</f>
        <v>#REF!</v>
      </c>
      <c r="C83" s="33" t="e">
        <f>Riskregister!#REF!</f>
        <v>#REF!</v>
      </c>
      <c r="D83" s="34" t="e">
        <f>Riskregister!#REF!</f>
        <v>#REF!</v>
      </c>
      <c r="E83" s="34" t="e">
        <f>Riskregister!#REF!</f>
        <v>#REF!</v>
      </c>
      <c r="F83" s="35"/>
      <c r="G83" s="35"/>
      <c r="H83" s="35"/>
      <c r="I83" s="36"/>
      <c r="J83" s="44">
        <v>60</v>
      </c>
      <c r="K83" s="45">
        <v>60</v>
      </c>
      <c r="L83" s="45">
        <v>60</v>
      </c>
      <c r="M83" s="45">
        <v>60</v>
      </c>
      <c r="N83" s="45">
        <v>60</v>
      </c>
      <c r="O83" s="45">
        <v>60</v>
      </c>
      <c r="P83" s="45">
        <v>60</v>
      </c>
      <c r="Q83" s="45">
        <v>60</v>
      </c>
      <c r="R83" s="45">
        <v>60</v>
      </c>
      <c r="S83" s="45">
        <v>60</v>
      </c>
      <c r="T83" s="45">
        <v>60</v>
      </c>
      <c r="U83" s="45">
        <v>60</v>
      </c>
      <c r="V83" s="45">
        <v>60</v>
      </c>
      <c r="W83" s="45">
        <v>60</v>
      </c>
      <c r="X83" s="45">
        <v>60</v>
      </c>
      <c r="Y83" s="45">
        <v>60</v>
      </c>
      <c r="Z83" s="45">
        <v>60</v>
      </c>
      <c r="AA83" s="45">
        <v>60</v>
      </c>
      <c r="AB83" s="45">
        <v>60</v>
      </c>
      <c r="AC83" s="45">
        <v>60</v>
      </c>
      <c r="AD83" s="45">
        <v>60</v>
      </c>
      <c r="AE83" s="45">
        <v>60</v>
      </c>
      <c r="AF83" s="45">
        <v>60</v>
      </c>
      <c r="AG83" s="45">
        <v>60</v>
      </c>
      <c r="AH83" s="124">
        <v>60</v>
      </c>
      <c r="AI83" s="39" t="e">
        <f>Riskregister!#REF!</f>
        <v>#REF!</v>
      </c>
      <c r="AJ83" s="40" t="e">
        <f>Riskregister!#REF!</f>
        <v>#REF!</v>
      </c>
    </row>
    <row r="84" spans="1:36" x14ac:dyDescent="0.3">
      <c r="A84" s="32" t="e">
        <f>Riskregister!#REF!</f>
        <v>#REF!</v>
      </c>
      <c r="B84" s="32" t="e">
        <f>Riskregister!#REF!</f>
        <v>#REF!</v>
      </c>
      <c r="C84" s="33" t="e">
        <f>Riskregister!#REF!</f>
        <v>#REF!</v>
      </c>
      <c r="D84" s="34" t="e">
        <f>Riskregister!#REF!</f>
        <v>#REF!</v>
      </c>
      <c r="E84" s="34" t="e">
        <f>Riskregister!#REF!</f>
        <v>#REF!</v>
      </c>
      <c r="F84" s="35"/>
      <c r="G84" s="35"/>
      <c r="H84" s="35"/>
      <c r="I84" s="36"/>
      <c r="J84" s="44">
        <v>60</v>
      </c>
      <c r="K84" s="45">
        <v>60</v>
      </c>
      <c r="L84" s="45">
        <v>60</v>
      </c>
      <c r="M84" s="45">
        <v>60</v>
      </c>
      <c r="N84" s="45">
        <v>60</v>
      </c>
      <c r="O84" s="45">
        <v>60</v>
      </c>
      <c r="P84" s="45">
        <v>60</v>
      </c>
      <c r="Q84" s="45">
        <v>60</v>
      </c>
      <c r="R84" s="45">
        <v>60</v>
      </c>
      <c r="S84" s="45">
        <v>60</v>
      </c>
      <c r="T84" s="45">
        <v>60</v>
      </c>
      <c r="U84" s="45">
        <v>60</v>
      </c>
      <c r="V84" s="45">
        <v>60</v>
      </c>
      <c r="W84" s="45">
        <v>60</v>
      </c>
      <c r="X84" s="45">
        <v>60</v>
      </c>
      <c r="Y84" s="45">
        <v>60</v>
      </c>
      <c r="Z84" s="45">
        <v>60</v>
      </c>
      <c r="AA84" s="45">
        <v>60</v>
      </c>
      <c r="AB84" s="45">
        <v>60</v>
      </c>
      <c r="AC84" s="45">
        <v>60</v>
      </c>
      <c r="AD84" s="45">
        <v>60</v>
      </c>
      <c r="AE84" s="45">
        <v>60</v>
      </c>
      <c r="AF84" s="45">
        <v>60</v>
      </c>
      <c r="AG84" s="45">
        <v>60</v>
      </c>
      <c r="AH84" s="124">
        <v>60</v>
      </c>
      <c r="AI84" s="39" t="e">
        <f>Riskregister!#REF!</f>
        <v>#REF!</v>
      </c>
      <c r="AJ84" s="40" t="e">
        <f>Riskregister!#REF!</f>
        <v>#REF!</v>
      </c>
    </row>
    <row r="85" spans="1:36" x14ac:dyDescent="0.3">
      <c r="A85" s="32" t="e">
        <f>Riskregister!#REF!</f>
        <v>#REF!</v>
      </c>
      <c r="B85" s="32" t="e">
        <f>Riskregister!#REF!</f>
        <v>#REF!</v>
      </c>
      <c r="C85" s="33" t="e">
        <f>Riskregister!#REF!</f>
        <v>#REF!</v>
      </c>
      <c r="D85" s="34" t="e">
        <f>Riskregister!#REF!</f>
        <v>#REF!</v>
      </c>
      <c r="E85" s="34" t="e">
        <f>Riskregister!#REF!</f>
        <v>#REF!</v>
      </c>
      <c r="F85" s="35"/>
      <c r="G85" s="35"/>
      <c r="H85" s="35"/>
      <c r="I85" s="36"/>
      <c r="J85" s="44">
        <v>60</v>
      </c>
      <c r="K85" s="45">
        <v>60</v>
      </c>
      <c r="L85" s="45">
        <v>60</v>
      </c>
      <c r="M85" s="45">
        <v>60</v>
      </c>
      <c r="N85" s="45">
        <v>60</v>
      </c>
      <c r="O85" s="45">
        <v>60</v>
      </c>
      <c r="P85" s="45">
        <v>60</v>
      </c>
      <c r="Q85" s="45">
        <v>60</v>
      </c>
      <c r="R85" s="45">
        <v>60</v>
      </c>
      <c r="S85" s="45">
        <v>60</v>
      </c>
      <c r="T85" s="45">
        <v>60</v>
      </c>
      <c r="U85" s="45">
        <v>60</v>
      </c>
      <c r="V85" s="45">
        <v>60</v>
      </c>
      <c r="W85" s="45">
        <v>60</v>
      </c>
      <c r="X85" s="45">
        <v>60</v>
      </c>
      <c r="Y85" s="45">
        <v>60</v>
      </c>
      <c r="Z85" s="45">
        <v>60</v>
      </c>
      <c r="AA85" s="45">
        <v>60</v>
      </c>
      <c r="AB85" s="45">
        <v>60</v>
      </c>
      <c r="AC85" s="45">
        <v>60</v>
      </c>
      <c r="AD85" s="45">
        <v>60</v>
      </c>
      <c r="AE85" s="45">
        <v>60</v>
      </c>
      <c r="AF85" s="45">
        <v>60</v>
      </c>
      <c r="AG85" s="45">
        <v>60</v>
      </c>
      <c r="AH85" s="124">
        <v>60</v>
      </c>
      <c r="AI85" s="39" t="e">
        <f>Riskregister!#REF!</f>
        <v>#REF!</v>
      </c>
      <c r="AJ85" s="40" t="e">
        <f>Riskregister!#REF!</f>
        <v>#REF!</v>
      </c>
    </row>
    <row r="86" spans="1:36" x14ac:dyDescent="0.3">
      <c r="A86" s="32" t="e">
        <f>Riskregister!#REF!</f>
        <v>#REF!</v>
      </c>
      <c r="B86" s="32" t="e">
        <f>Riskregister!#REF!</f>
        <v>#REF!</v>
      </c>
      <c r="C86" s="33" t="e">
        <f>Riskregister!#REF!</f>
        <v>#REF!</v>
      </c>
      <c r="D86" s="34" t="e">
        <f>Riskregister!#REF!</f>
        <v>#REF!</v>
      </c>
      <c r="E86" s="34" t="e">
        <f>Riskregister!#REF!</f>
        <v>#REF!</v>
      </c>
      <c r="F86" s="35"/>
      <c r="G86" s="35"/>
      <c r="H86" s="35"/>
      <c r="I86" s="36"/>
      <c r="J86" s="44">
        <v>60</v>
      </c>
      <c r="K86" s="45">
        <v>60</v>
      </c>
      <c r="L86" s="45">
        <v>60</v>
      </c>
      <c r="M86" s="45">
        <v>60</v>
      </c>
      <c r="N86" s="45">
        <v>60</v>
      </c>
      <c r="O86" s="45">
        <v>60</v>
      </c>
      <c r="P86" s="45">
        <v>60</v>
      </c>
      <c r="Q86" s="45">
        <v>60</v>
      </c>
      <c r="R86" s="45">
        <v>60</v>
      </c>
      <c r="S86" s="45">
        <v>60</v>
      </c>
      <c r="T86" s="45">
        <v>60</v>
      </c>
      <c r="U86" s="45">
        <v>60</v>
      </c>
      <c r="V86" s="45">
        <v>60</v>
      </c>
      <c r="W86" s="45">
        <v>60</v>
      </c>
      <c r="X86" s="45">
        <v>60</v>
      </c>
      <c r="Y86" s="45">
        <v>60</v>
      </c>
      <c r="Z86" s="45">
        <v>60</v>
      </c>
      <c r="AA86" s="45">
        <v>60</v>
      </c>
      <c r="AB86" s="45">
        <v>60</v>
      </c>
      <c r="AC86" s="45">
        <v>60</v>
      </c>
      <c r="AD86" s="45">
        <v>60</v>
      </c>
      <c r="AE86" s="45">
        <v>60</v>
      </c>
      <c r="AF86" s="45">
        <v>60</v>
      </c>
      <c r="AG86" s="45">
        <v>60</v>
      </c>
      <c r="AH86" s="124">
        <v>60</v>
      </c>
      <c r="AI86" s="39" t="e">
        <f>Riskregister!#REF!</f>
        <v>#REF!</v>
      </c>
      <c r="AJ86" s="40" t="e">
        <f>Riskregister!#REF!</f>
        <v>#REF!</v>
      </c>
    </row>
    <row r="87" spans="1:36" x14ac:dyDescent="0.3">
      <c r="A87" s="32" t="e">
        <f>Riskregister!#REF!</f>
        <v>#REF!</v>
      </c>
      <c r="B87" s="32" t="e">
        <f>Riskregister!#REF!</f>
        <v>#REF!</v>
      </c>
      <c r="C87" s="33" t="e">
        <f>Riskregister!#REF!</f>
        <v>#REF!</v>
      </c>
      <c r="D87" s="34" t="e">
        <f>Riskregister!#REF!</f>
        <v>#REF!</v>
      </c>
      <c r="E87" s="34" t="e">
        <f>Riskregister!#REF!</f>
        <v>#REF!</v>
      </c>
      <c r="F87" s="35"/>
      <c r="G87" s="35"/>
      <c r="H87" s="35"/>
      <c r="I87" s="36"/>
      <c r="J87" s="44">
        <v>60</v>
      </c>
      <c r="K87" s="45">
        <v>60</v>
      </c>
      <c r="L87" s="45">
        <v>60</v>
      </c>
      <c r="M87" s="45">
        <v>60</v>
      </c>
      <c r="N87" s="45">
        <v>60</v>
      </c>
      <c r="O87" s="45">
        <v>60</v>
      </c>
      <c r="P87" s="45">
        <v>60</v>
      </c>
      <c r="Q87" s="45">
        <v>60</v>
      </c>
      <c r="R87" s="45">
        <v>60</v>
      </c>
      <c r="S87" s="45">
        <v>60</v>
      </c>
      <c r="T87" s="45">
        <v>60</v>
      </c>
      <c r="U87" s="45">
        <v>60</v>
      </c>
      <c r="V87" s="45">
        <v>60</v>
      </c>
      <c r="W87" s="45">
        <v>60</v>
      </c>
      <c r="X87" s="45">
        <v>60</v>
      </c>
      <c r="Y87" s="45">
        <v>60</v>
      </c>
      <c r="Z87" s="45">
        <v>60</v>
      </c>
      <c r="AA87" s="45">
        <v>60</v>
      </c>
      <c r="AB87" s="45">
        <v>60</v>
      </c>
      <c r="AC87" s="45">
        <v>60</v>
      </c>
      <c r="AD87" s="45">
        <v>60</v>
      </c>
      <c r="AE87" s="45">
        <v>60</v>
      </c>
      <c r="AF87" s="45">
        <v>60</v>
      </c>
      <c r="AG87" s="45">
        <v>60</v>
      </c>
      <c r="AH87" s="124">
        <v>60</v>
      </c>
      <c r="AI87" s="39" t="e">
        <f>Riskregister!#REF!</f>
        <v>#REF!</v>
      </c>
      <c r="AJ87" s="40" t="e">
        <f>Riskregister!#REF!</f>
        <v>#REF!</v>
      </c>
    </row>
    <row r="88" spans="1:36" x14ac:dyDescent="0.3">
      <c r="A88" s="32" t="e">
        <f>Riskregister!#REF!</f>
        <v>#REF!</v>
      </c>
      <c r="B88" s="32" t="e">
        <f>Riskregister!#REF!</f>
        <v>#REF!</v>
      </c>
      <c r="C88" s="33" t="e">
        <f>Riskregister!#REF!</f>
        <v>#REF!</v>
      </c>
      <c r="D88" s="34" t="e">
        <f>Riskregister!#REF!</f>
        <v>#REF!</v>
      </c>
      <c r="E88" s="34" t="e">
        <f>Riskregister!#REF!</f>
        <v>#REF!</v>
      </c>
      <c r="F88" s="35"/>
      <c r="G88" s="35"/>
      <c r="H88" s="35"/>
      <c r="I88" s="36"/>
      <c r="J88" s="44">
        <v>60</v>
      </c>
      <c r="K88" s="45">
        <v>60</v>
      </c>
      <c r="L88" s="45">
        <v>60</v>
      </c>
      <c r="M88" s="45">
        <v>60</v>
      </c>
      <c r="N88" s="45">
        <v>60</v>
      </c>
      <c r="O88" s="45">
        <v>60</v>
      </c>
      <c r="P88" s="45">
        <v>60</v>
      </c>
      <c r="Q88" s="45">
        <v>60</v>
      </c>
      <c r="R88" s="45">
        <v>60</v>
      </c>
      <c r="S88" s="45">
        <v>60</v>
      </c>
      <c r="T88" s="45">
        <v>60</v>
      </c>
      <c r="U88" s="45">
        <v>60</v>
      </c>
      <c r="V88" s="45">
        <v>60</v>
      </c>
      <c r="W88" s="45">
        <v>60</v>
      </c>
      <c r="X88" s="45">
        <v>60</v>
      </c>
      <c r="Y88" s="45">
        <v>60</v>
      </c>
      <c r="Z88" s="45">
        <v>60</v>
      </c>
      <c r="AA88" s="45">
        <v>60</v>
      </c>
      <c r="AB88" s="45">
        <v>60</v>
      </c>
      <c r="AC88" s="45">
        <v>60</v>
      </c>
      <c r="AD88" s="45">
        <v>60</v>
      </c>
      <c r="AE88" s="45">
        <v>60</v>
      </c>
      <c r="AF88" s="45">
        <v>60</v>
      </c>
      <c r="AG88" s="45">
        <v>60</v>
      </c>
      <c r="AH88" s="124">
        <v>60</v>
      </c>
      <c r="AI88" s="39" t="e">
        <f>Riskregister!#REF!</f>
        <v>#REF!</v>
      </c>
      <c r="AJ88" s="40" t="e">
        <f>Riskregister!#REF!</f>
        <v>#REF!</v>
      </c>
    </row>
    <row r="89" spans="1:36" x14ac:dyDescent="0.3">
      <c r="A89" s="32" t="e">
        <f>Riskregister!#REF!</f>
        <v>#REF!</v>
      </c>
      <c r="B89" s="32" t="e">
        <f>Riskregister!#REF!</f>
        <v>#REF!</v>
      </c>
      <c r="C89" s="33" t="e">
        <f>Riskregister!#REF!</f>
        <v>#REF!</v>
      </c>
      <c r="D89" s="34" t="e">
        <f>Riskregister!#REF!</f>
        <v>#REF!</v>
      </c>
      <c r="E89" s="34" t="e">
        <f>Riskregister!#REF!</f>
        <v>#REF!</v>
      </c>
      <c r="F89" s="35"/>
      <c r="G89" s="35"/>
      <c r="H89" s="35"/>
      <c r="I89" s="36"/>
      <c r="J89" s="44">
        <v>60</v>
      </c>
      <c r="K89" s="45">
        <v>60</v>
      </c>
      <c r="L89" s="45">
        <v>60</v>
      </c>
      <c r="M89" s="45">
        <v>60</v>
      </c>
      <c r="N89" s="45">
        <v>60</v>
      </c>
      <c r="O89" s="45">
        <v>60</v>
      </c>
      <c r="P89" s="45">
        <v>60</v>
      </c>
      <c r="Q89" s="45">
        <v>60</v>
      </c>
      <c r="R89" s="45">
        <v>60</v>
      </c>
      <c r="S89" s="45">
        <v>60</v>
      </c>
      <c r="T89" s="45">
        <v>60</v>
      </c>
      <c r="U89" s="45">
        <v>60</v>
      </c>
      <c r="V89" s="45">
        <v>60</v>
      </c>
      <c r="W89" s="45">
        <v>60</v>
      </c>
      <c r="X89" s="45">
        <v>60</v>
      </c>
      <c r="Y89" s="45">
        <v>60</v>
      </c>
      <c r="Z89" s="45">
        <v>60</v>
      </c>
      <c r="AA89" s="45">
        <v>60</v>
      </c>
      <c r="AB89" s="45">
        <v>60</v>
      </c>
      <c r="AC89" s="45">
        <v>60</v>
      </c>
      <c r="AD89" s="45">
        <v>60</v>
      </c>
      <c r="AE89" s="45">
        <v>60</v>
      </c>
      <c r="AF89" s="45">
        <v>60</v>
      </c>
      <c r="AG89" s="45">
        <v>60</v>
      </c>
      <c r="AH89" s="124">
        <v>60</v>
      </c>
      <c r="AI89" s="39" t="e">
        <f>Riskregister!#REF!</f>
        <v>#REF!</v>
      </c>
      <c r="AJ89" s="40" t="e">
        <f>Riskregister!#REF!</f>
        <v>#REF!</v>
      </c>
    </row>
    <row r="90" spans="1:36" x14ac:dyDescent="0.3">
      <c r="A90" s="32" t="e">
        <f>Riskregister!#REF!</f>
        <v>#REF!</v>
      </c>
      <c r="B90" s="32" t="e">
        <f>Riskregister!#REF!</f>
        <v>#REF!</v>
      </c>
      <c r="C90" s="33" t="e">
        <f>Riskregister!#REF!</f>
        <v>#REF!</v>
      </c>
      <c r="D90" s="34" t="e">
        <f>Riskregister!#REF!</f>
        <v>#REF!</v>
      </c>
      <c r="E90" s="34" t="e">
        <f>Riskregister!#REF!</f>
        <v>#REF!</v>
      </c>
      <c r="F90" s="35"/>
      <c r="G90" s="35"/>
      <c r="H90" s="35"/>
      <c r="I90" s="36"/>
      <c r="J90" s="44">
        <v>60</v>
      </c>
      <c r="K90" s="45">
        <v>60</v>
      </c>
      <c r="L90" s="45">
        <v>60</v>
      </c>
      <c r="M90" s="45">
        <v>60</v>
      </c>
      <c r="N90" s="45">
        <v>60</v>
      </c>
      <c r="O90" s="45">
        <v>60</v>
      </c>
      <c r="P90" s="45">
        <v>60</v>
      </c>
      <c r="Q90" s="45">
        <v>60</v>
      </c>
      <c r="R90" s="45">
        <v>60</v>
      </c>
      <c r="S90" s="45">
        <v>60</v>
      </c>
      <c r="T90" s="45">
        <v>60</v>
      </c>
      <c r="U90" s="45">
        <v>60</v>
      </c>
      <c r="V90" s="45">
        <v>60</v>
      </c>
      <c r="W90" s="45">
        <v>60</v>
      </c>
      <c r="X90" s="45">
        <v>60</v>
      </c>
      <c r="Y90" s="45">
        <v>60</v>
      </c>
      <c r="Z90" s="45">
        <v>60</v>
      </c>
      <c r="AA90" s="45">
        <v>60</v>
      </c>
      <c r="AB90" s="45">
        <v>60</v>
      </c>
      <c r="AC90" s="45">
        <v>60</v>
      </c>
      <c r="AD90" s="45">
        <v>60</v>
      </c>
      <c r="AE90" s="45">
        <v>60</v>
      </c>
      <c r="AF90" s="45">
        <v>60</v>
      </c>
      <c r="AG90" s="45">
        <v>60</v>
      </c>
      <c r="AH90" s="124">
        <v>60</v>
      </c>
      <c r="AI90" s="39" t="e">
        <f>Riskregister!#REF!</f>
        <v>#REF!</v>
      </c>
      <c r="AJ90" s="40" t="e">
        <f>Riskregister!#REF!</f>
        <v>#REF!</v>
      </c>
    </row>
    <row r="91" spans="1:36" x14ac:dyDescent="0.3">
      <c r="A91" s="32" t="e">
        <f>Riskregister!#REF!</f>
        <v>#REF!</v>
      </c>
      <c r="B91" s="32" t="e">
        <f>Riskregister!#REF!</f>
        <v>#REF!</v>
      </c>
      <c r="C91" s="33" t="e">
        <f>Riskregister!#REF!</f>
        <v>#REF!</v>
      </c>
      <c r="D91" s="34" t="e">
        <f>Riskregister!#REF!</f>
        <v>#REF!</v>
      </c>
      <c r="E91" s="34" t="e">
        <f>Riskregister!#REF!</f>
        <v>#REF!</v>
      </c>
      <c r="F91" s="35"/>
      <c r="G91" s="35"/>
      <c r="H91" s="35"/>
      <c r="I91" s="36"/>
      <c r="J91" s="44">
        <v>60</v>
      </c>
      <c r="K91" s="45">
        <v>60</v>
      </c>
      <c r="L91" s="45">
        <v>60</v>
      </c>
      <c r="M91" s="45">
        <v>60</v>
      </c>
      <c r="N91" s="45">
        <v>60</v>
      </c>
      <c r="O91" s="45">
        <v>60</v>
      </c>
      <c r="P91" s="45">
        <v>60</v>
      </c>
      <c r="Q91" s="45">
        <v>60</v>
      </c>
      <c r="R91" s="45">
        <v>60</v>
      </c>
      <c r="S91" s="45">
        <v>60</v>
      </c>
      <c r="T91" s="45">
        <v>60</v>
      </c>
      <c r="U91" s="45">
        <v>60</v>
      </c>
      <c r="V91" s="45">
        <v>60</v>
      </c>
      <c r="W91" s="45">
        <v>60</v>
      </c>
      <c r="X91" s="45">
        <v>60</v>
      </c>
      <c r="Y91" s="45">
        <v>60</v>
      </c>
      <c r="Z91" s="45">
        <v>60</v>
      </c>
      <c r="AA91" s="45">
        <v>60</v>
      </c>
      <c r="AB91" s="45">
        <v>60</v>
      </c>
      <c r="AC91" s="45">
        <v>60</v>
      </c>
      <c r="AD91" s="45">
        <v>60</v>
      </c>
      <c r="AE91" s="45">
        <v>60</v>
      </c>
      <c r="AF91" s="45">
        <v>60</v>
      </c>
      <c r="AG91" s="45">
        <v>60</v>
      </c>
      <c r="AH91" s="124">
        <v>60</v>
      </c>
      <c r="AI91" s="39" t="e">
        <f>Riskregister!#REF!</f>
        <v>#REF!</v>
      </c>
      <c r="AJ91" s="40" t="e">
        <f>Riskregister!#REF!</f>
        <v>#REF!</v>
      </c>
    </row>
    <row r="92" spans="1:36" x14ac:dyDescent="0.3">
      <c r="A92" s="32" t="e">
        <f>Riskregister!#REF!</f>
        <v>#REF!</v>
      </c>
      <c r="B92" s="32" t="e">
        <f>Riskregister!#REF!</f>
        <v>#REF!</v>
      </c>
      <c r="C92" s="33" t="e">
        <f>Riskregister!#REF!</f>
        <v>#REF!</v>
      </c>
      <c r="D92" s="34" t="e">
        <f>Riskregister!#REF!</f>
        <v>#REF!</v>
      </c>
      <c r="E92" s="34" t="e">
        <f>Riskregister!#REF!</f>
        <v>#REF!</v>
      </c>
      <c r="F92" s="35"/>
      <c r="G92" s="35"/>
      <c r="H92" s="35"/>
      <c r="I92" s="36"/>
      <c r="J92" s="44">
        <v>60</v>
      </c>
      <c r="K92" s="45">
        <v>60</v>
      </c>
      <c r="L92" s="45">
        <v>60</v>
      </c>
      <c r="M92" s="45">
        <v>60</v>
      </c>
      <c r="N92" s="45">
        <v>60</v>
      </c>
      <c r="O92" s="45">
        <v>60</v>
      </c>
      <c r="P92" s="45">
        <v>60</v>
      </c>
      <c r="Q92" s="45">
        <v>60</v>
      </c>
      <c r="R92" s="45">
        <v>60</v>
      </c>
      <c r="S92" s="45">
        <v>60</v>
      </c>
      <c r="T92" s="45">
        <v>60</v>
      </c>
      <c r="U92" s="45">
        <v>60</v>
      </c>
      <c r="V92" s="45">
        <v>60</v>
      </c>
      <c r="W92" s="45">
        <v>60</v>
      </c>
      <c r="X92" s="45">
        <v>60</v>
      </c>
      <c r="Y92" s="45">
        <v>60</v>
      </c>
      <c r="Z92" s="45">
        <v>60</v>
      </c>
      <c r="AA92" s="45">
        <v>60</v>
      </c>
      <c r="AB92" s="45">
        <v>60</v>
      </c>
      <c r="AC92" s="45">
        <v>60</v>
      </c>
      <c r="AD92" s="45">
        <v>60</v>
      </c>
      <c r="AE92" s="45">
        <v>60</v>
      </c>
      <c r="AF92" s="45">
        <v>60</v>
      </c>
      <c r="AG92" s="45">
        <v>60</v>
      </c>
      <c r="AH92" s="124">
        <v>60</v>
      </c>
      <c r="AI92" s="39" t="e">
        <f>Riskregister!#REF!</f>
        <v>#REF!</v>
      </c>
      <c r="AJ92" s="40" t="e">
        <f>Riskregister!#REF!</f>
        <v>#REF!</v>
      </c>
    </row>
    <row r="93" spans="1:36" x14ac:dyDescent="0.3">
      <c r="A93" s="32" t="e">
        <f>Riskregister!#REF!</f>
        <v>#REF!</v>
      </c>
      <c r="B93" s="32" t="e">
        <f>Riskregister!#REF!</f>
        <v>#REF!</v>
      </c>
      <c r="C93" s="33" t="e">
        <f>Riskregister!#REF!</f>
        <v>#REF!</v>
      </c>
      <c r="D93" s="34" t="e">
        <f>Riskregister!#REF!</f>
        <v>#REF!</v>
      </c>
      <c r="E93" s="34" t="e">
        <f>Riskregister!#REF!</f>
        <v>#REF!</v>
      </c>
      <c r="F93" s="35"/>
      <c r="G93" s="35"/>
      <c r="H93" s="35"/>
      <c r="I93" s="36"/>
      <c r="J93" s="44">
        <v>60</v>
      </c>
      <c r="K93" s="45">
        <v>60</v>
      </c>
      <c r="L93" s="45">
        <v>60</v>
      </c>
      <c r="M93" s="45">
        <v>60</v>
      </c>
      <c r="N93" s="45">
        <v>60</v>
      </c>
      <c r="O93" s="45">
        <v>60</v>
      </c>
      <c r="P93" s="45">
        <v>60</v>
      </c>
      <c r="Q93" s="45">
        <v>60</v>
      </c>
      <c r="R93" s="45">
        <v>60</v>
      </c>
      <c r="S93" s="45">
        <v>60</v>
      </c>
      <c r="T93" s="45">
        <v>60</v>
      </c>
      <c r="U93" s="45">
        <v>60</v>
      </c>
      <c r="V93" s="45">
        <v>60</v>
      </c>
      <c r="W93" s="45">
        <v>60</v>
      </c>
      <c r="X93" s="45">
        <v>60</v>
      </c>
      <c r="Y93" s="45">
        <v>60</v>
      </c>
      <c r="Z93" s="45">
        <v>60</v>
      </c>
      <c r="AA93" s="45">
        <v>60</v>
      </c>
      <c r="AB93" s="45">
        <v>60</v>
      </c>
      <c r="AC93" s="45">
        <v>60</v>
      </c>
      <c r="AD93" s="45">
        <v>60</v>
      </c>
      <c r="AE93" s="45">
        <v>60</v>
      </c>
      <c r="AF93" s="45">
        <v>60</v>
      </c>
      <c r="AG93" s="45">
        <v>60</v>
      </c>
      <c r="AH93" s="124">
        <v>60</v>
      </c>
      <c r="AI93" s="39" t="e">
        <f>Riskregister!#REF!</f>
        <v>#REF!</v>
      </c>
      <c r="AJ93" s="40" t="e">
        <f>Riskregister!#REF!</f>
        <v>#REF!</v>
      </c>
    </row>
    <row r="94" spans="1:36" x14ac:dyDescent="0.3">
      <c r="A94" s="32" t="e">
        <f>Riskregister!#REF!</f>
        <v>#REF!</v>
      </c>
      <c r="B94" s="32" t="e">
        <f>Riskregister!#REF!</f>
        <v>#REF!</v>
      </c>
      <c r="C94" s="33" t="e">
        <f>Riskregister!#REF!</f>
        <v>#REF!</v>
      </c>
      <c r="D94" s="34" t="e">
        <f>Riskregister!#REF!</f>
        <v>#REF!</v>
      </c>
      <c r="E94" s="34" t="e">
        <f>Riskregister!#REF!</f>
        <v>#REF!</v>
      </c>
      <c r="F94" s="35"/>
      <c r="G94" s="35"/>
      <c r="H94" s="35"/>
      <c r="I94" s="36"/>
      <c r="J94" s="44">
        <v>60</v>
      </c>
      <c r="K94" s="45">
        <v>60</v>
      </c>
      <c r="L94" s="45">
        <v>60</v>
      </c>
      <c r="M94" s="45">
        <v>60</v>
      </c>
      <c r="N94" s="45">
        <v>60</v>
      </c>
      <c r="O94" s="45">
        <v>60</v>
      </c>
      <c r="P94" s="45">
        <v>60</v>
      </c>
      <c r="Q94" s="45">
        <v>60</v>
      </c>
      <c r="R94" s="45">
        <v>60</v>
      </c>
      <c r="S94" s="45">
        <v>60</v>
      </c>
      <c r="T94" s="45">
        <v>60</v>
      </c>
      <c r="U94" s="45">
        <v>60</v>
      </c>
      <c r="V94" s="45">
        <v>60</v>
      </c>
      <c r="W94" s="45">
        <v>60</v>
      </c>
      <c r="X94" s="45">
        <v>60</v>
      </c>
      <c r="Y94" s="45">
        <v>60</v>
      </c>
      <c r="Z94" s="45">
        <v>60</v>
      </c>
      <c r="AA94" s="45">
        <v>60</v>
      </c>
      <c r="AB94" s="45">
        <v>60</v>
      </c>
      <c r="AC94" s="45">
        <v>60</v>
      </c>
      <c r="AD94" s="45">
        <v>60</v>
      </c>
      <c r="AE94" s="45">
        <v>60</v>
      </c>
      <c r="AF94" s="45">
        <v>60</v>
      </c>
      <c r="AG94" s="45">
        <v>60</v>
      </c>
      <c r="AH94" s="124">
        <v>60</v>
      </c>
      <c r="AI94" s="39" t="e">
        <f>Riskregister!#REF!</f>
        <v>#REF!</v>
      </c>
      <c r="AJ94" s="40" t="e">
        <f>Riskregister!#REF!</f>
        <v>#REF!</v>
      </c>
    </row>
    <row r="95" spans="1:36" x14ac:dyDescent="0.3">
      <c r="A95" s="32" t="e">
        <f>Riskregister!#REF!</f>
        <v>#REF!</v>
      </c>
      <c r="B95" s="32" t="e">
        <f>Riskregister!#REF!</f>
        <v>#REF!</v>
      </c>
      <c r="C95" s="33" t="e">
        <f>Riskregister!#REF!</f>
        <v>#REF!</v>
      </c>
      <c r="D95" s="34" t="e">
        <f>Riskregister!#REF!</f>
        <v>#REF!</v>
      </c>
      <c r="E95" s="34" t="e">
        <f>Riskregister!#REF!</f>
        <v>#REF!</v>
      </c>
      <c r="F95" s="35"/>
      <c r="G95" s="35"/>
      <c r="H95" s="35"/>
      <c r="I95" s="36"/>
      <c r="J95" s="44">
        <v>60</v>
      </c>
      <c r="K95" s="45">
        <v>60</v>
      </c>
      <c r="L95" s="45">
        <v>60</v>
      </c>
      <c r="M95" s="45">
        <v>60</v>
      </c>
      <c r="N95" s="45">
        <v>60</v>
      </c>
      <c r="O95" s="45">
        <v>60</v>
      </c>
      <c r="P95" s="45">
        <v>60</v>
      </c>
      <c r="Q95" s="45">
        <v>60</v>
      </c>
      <c r="R95" s="45">
        <v>60</v>
      </c>
      <c r="S95" s="45">
        <v>60</v>
      </c>
      <c r="T95" s="45">
        <v>60</v>
      </c>
      <c r="U95" s="45">
        <v>60</v>
      </c>
      <c r="V95" s="45">
        <v>60</v>
      </c>
      <c r="W95" s="45">
        <v>60</v>
      </c>
      <c r="X95" s="45">
        <v>60</v>
      </c>
      <c r="Y95" s="45">
        <v>60</v>
      </c>
      <c r="Z95" s="45">
        <v>60</v>
      </c>
      <c r="AA95" s="45">
        <v>60</v>
      </c>
      <c r="AB95" s="45">
        <v>60</v>
      </c>
      <c r="AC95" s="45">
        <v>60</v>
      </c>
      <c r="AD95" s="45">
        <v>60</v>
      </c>
      <c r="AE95" s="45">
        <v>60</v>
      </c>
      <c r="AF95" s="45">
        <v>60</v>
      </c>
      <c r="AG95" s="45">
        <v>60</v>
      </c>
      <c r="AH95" s="124">
        <v>60</v>
      </c>
      <c r="AI95" s="39" t="e">
        <f>Riskregister!#REF!</f>
        <v>#REF!</v>
      </c>
      <c r="AJ95" s="40" t="e">
        <f>Riskregister!#REF!</f>
        <v>#REF!</v>
      </c>
    </row>
    <row r="96" spans="1:36" x14ac:dyDescent="0.3">
      <c r="A96" s="32" t="e">
        <f>Riskregister!#REF!</f>
        <v>#REF!</v>
      </c>
      <c r="B96" s="32" t="e">
        <f>Riskregister!#REF!</f>
        <v>#REF!</v>
      </c>
      <c r="C96" s="33" t="e">
        <f>Riskregister!#REF!</f>
        <v>#REF!</v>
      </c>
      <c r="D96" s="34" t="e">
        <f>Riskregister!#REF!</f>
        <v>#REF!</v>
      </c>
      <c r="E96" s="34" t="e">
        <f>Riskregister!#REF!</f>
        <v>#REF!</v>
      </c>
      <c r="F96" s="35"/>
      <c r="G96" s="35"/>
      <c r="H96" s="35"/>
      <c r="I96" s="36"/>
      <c r="J96" s="44">
        <v>60</v>
      </c>
      <c r="K96" s="45">
        <v>60</v>
      </c>
      <c r="L96" s="45">
        <v>60</v>
      </c>
      <c r="M96" s="45">
        <v>60</v>
      </c>
      <c r="N96" s="45">
        <v>60</v>
      </c>
      <c r="O96" s="45">
        <v>60</v>
      </c>
      <c r="P96" s="45">
        <v>60</v>
      </c>
      <c r="Q96" s="45">
        <v>60</v>
      </c>
      <c r="R96" s="45">
        <v>60</v>
      </c>
      <c r="S96" s="45">
        <v>60</v>
      </c>
      <c r="T96" s="45">
        <v>60</v>
      </c>
      <c r="U96" s="45">
        <v>60</v>
      </c>
      <c r="V96" s="45">
        <v>60</v>
      </c>
      <c r="W96" s="45">
        <v>60</v>
      </c>
      <c r="X96" s="45">
        <v>60</v>
      </c>
      <c r="Y96" s="45">
        <v>60</v>
      </c>
      <c r="Z96" s="45">
        <v>60</v>
      </c>
      <c r="AA96" s="45">
        <v>60</v>
      </c>
      <c r="AB96" s="45">
        <v>60</v>
      </c>
      <c r="AC96" s="45">
        <v>60</v>
      </c>
      <c r="AD96" s="45">
        <v>60</v>
      </c>
      <c r="AE96" s="45">
        <v>60</v>
      </c>
      <c r="AF96" s="45">
        <v>60</v>
      </c>
      <c r="AG96" s="45">
        <v>60</v>
      </c>
      <c r="AH96" s="124">
        <v>60</v>
      </c>
      <c r="AI96" s="39" t="e">
        <f>Riskregister!#REF!</f>
        <v>#REF!</v>
      </c>
      <c r="AJ96" s="40" t="e">
        <f>Riskregister!#REF!</f>
        <v>#REF!</v>
      </c>
    </row>
    <row r="97" spans="1:36" x14ac:dyDescent="0.3">
      <c r="A97" s="32" t="e">
        <f>Riskregister!#REF!</f>
        <v>#REF!</v>
      </c>
      <c r="B97" s="32" t="e">
        <f>Riskregister!#REF!</f>
        <v>#REF!</v>
      </c>
      <c r="C97" s="33" t="e">
        <f>Riskregister!#REF!</f>
        <v>#REF!</v>
      </c>
      <c r="D97" s="34" t="e">
        <f>Riskregister!#REF!</f>
        <v>#REF!</v>
      </c>
      <c r="E97" s="34" t="e">
        <f>Riskregister!#REF!</f>
        <v>#REF!</v>
      </c>
      <c r="F97" s="35"/>
      <c r="G97" s="35"/>
      <c r="H97" s="35"/>
      <c r="I97" s="36"/>
      <c r="J97" s="44">
        <v>60</v>
      </c>
      <c r="K97" s="45">
        <v>60</v>
      </c>
      <c r="L97" s="45">
        <v>60</v>
      </c>
      <c r="M97" s="45">
        <v>60</v>
      </c>
      <c r="N97" s="45">
        <v>60</v>
      </c>
      <c r="O97" s="45">
        <v>60</v>
      </c>
      <c r="P97" s="45">
        <v>60</v>
      </c>
      <c r="Q97" s="45">
        <v>60</v>
      </c>
      <c r="R97" s="45">
        <v>60</v>
      </c>
      <c r="S97" s="45">
        <v>60</v>
      </c>
      <c r="T97" s="45">
        <v>60</v>
      </c>
      <c r="U97" s="45">
        <v>60</v>
      </c>
      <c r="V97" s="45">
        <v>60</v>
      </c>
      <c r="W97" s="45">
        <v>60</v>
      </c>
      <c r="X97" s="45">
        <v>60</v>
      </c>
      <c r="Y97" s="45">
        <v>60</v>
      </c>
      <c r="Z97" s="45">
        <v>60</v>
      </c>
      <c r="AA97" s="45">
        <v>60</v>
      </c>
      <c r="AB97" s="45">
        <v>60</v>
      </c>
      <c r="AC97" s="45">
        <v>60</v>
      </c>
      <c r="AD97" s="45">
        <v>60</v>
      </c>
      <c r="AE97" s="45">
        <v>60</v>
      </c>
      <c r="AF97" s="45">
        <v>60</v>
      </c>
      <c r="AG97" s="45">
        <v>60</v>
      </c>
      <c r="AH97" s="124">
        <v>60</v>
      </c>
      <c r="AI97" s="39" t="e">
        <f>Riskregister!#REF!</f>
        <v>#REF!</v>
      </c>
      <c r="AJ97" s="40" t="e">
        <f>Riskregister!#REF!</f>
        <v>#REF!</v>
      </c>
    </row>
    <row r="98" spans="1:36" x14ac:dyDescent="0.3">
      <c r="A98" s="32" t="e">
        <f>Riskregister!#REF!</f>
        <v>#REF!</v>
      </c>
      <c r="B98" s="32" t="e">
        <f>Riskregister!#REF!</f>
        <v>#REF!</v>
      </c>
      <c r="C98" s="33" t="e">
        <f>Riskregister!#REF!</f>
        <v>#REF!</v>
      </c>
      <c r="D98" s="34" t="e">
        <f>Riskregister!#REF!</f>
        <v>#REF!</v>
      </c>
      <c r="E98" s="34" t="e">
        <f>Riskregister!#REF!</f>
        <v>#REF!</v>
      </c>
      <c r="F98" s="35"/>
      <c r="G98" s="35"/>
      <c r="H98" s="35"/>
      <c r="I98" s="36"/>
      <c r="J98" s="44">
        <v>60</v>
      </c>
      <c r="K98" s="45">
        <v>60</v>
      </c>
      <c r="L98" s="45">
        <v>60</v>
      </c>
      <c r="M98" s="45">
        <v>60</v>
      </c>
      <c r="N98" s="45">
        <v>60</v>
      </c>
      <c r="O98" s="45">
        <v>60</v>
      </c>
      <c r="P98" s="45">
        <v>60</v>
      </c>
      <c r="Q98" s="45">
        <v>60</v>
      </c>
      <c r="R98" s="45">
        <v>60</v>
      </c>
      <c r="S98" s="45">
        <v>60</v>
      </c>
      <c r="T98" s="45">
        <v>60</v>
      </c>
      <c r="U98" s="45">
        <v>60</v>
      </c>
      <c r="V98" s="45">
        <v>60</v>
      </c>
      <c r="W98" s="45">
        <v>60</v>
      </c>
      <c r="X98" s="45">
        <v>60</v>
      </c>
      <c r="Y98" s="45">
        <v>60</v>
      </c>
      <c r="Z98" s="45">
        <v>60</v>
      </c>
      <c r="AA98" s="45">
        <v>60</v>
      </c>
      <c r="AB98" s="45">
        <v>60</v>
      </c>
      <c r="AC98" s="45">
        <v>60</v>
      </c>
      <c r="AD98" s="45">
        <v>60</v>
      </c>
      <c r="AE98" s="45">
        <v>60</v>
      </c>
      <c r="AF98" s="45">
        <v>60</v>
      </c>
      <c r="AG98" s="45">
        <v>60</v>
      </c>
      <c r="AH98" s="124">
        <v>60</v>
      </c>
      <c r="AI98" s="39" t="e">
        <f>Riskregister!#REF!</f>
        <v>#REF!</v>
      </c>
      <c r="AJ98" s="40" t="e">
        <f>Riskregister!#REF!</f>
        <v>#REF!</v>
      </c>
    </row>
    <row r="99" spans="1:36" x14ac:dyDescent="0.3">
      <c r="A99" s="32" t="e">
        <f>Riskregister!#REF!</f>
        <v>#REF!</v>
      </c>
      <c r="B99" s="32" t="e">
        <f>Riskregister!#REF!</f>
        <v>#REF!</v>
      </c>
      <c r="C99" s="33" t="e">
        <f>Riskregister!#REF!</f>
        <v>#REF!</v>
      </c>
      <c r="D99" s="34" t="e">
        <f>Riskregister!#REF!</f>
        <v>#REF!</v>
      </c>
      <c r="E99" s="34" t="e">
        <f>Riskregister!#REF!</f>
        <v>#REF!</v>
      </c>
      <c r="F99" s="35"/>
      <c r="G99" s="35"/>
      <c r="H99" s="35"/>
      <c r="I99" s="36"/>
      <c r="J99" s="44">
        <v>60</v>
      </c>
      <c r="K99" s="45">
        <v>60</v>
      </c>
      <c r="L99" s="45">
        <v>60</v>
      </c>
      <c r="M99" s="45">
        <v>60</v>
      </c>
      <c r="N99" s="45">
        <v>60</v>
      </c>
      <c r="O99" s="45">
        <v>60</v>
      </c>
      <c r="P99" s="45">
        <v>60</v>
      </c>
      <c r="Q99" s="45">
        <v>60</v>
      </c>
      <c r="R99" s="45">
        <v>60</v>
      </c>
      <c r="S99" s="45">
        <v>60</v>
      </c>
      <c r="T99" s="45">
        <v>60</v>
      </c>
      <c r="U99" s="45">
        <v>60</v>
      </c>
      <c r="V99" s="45">
        <v>60</v>
      </c>
      <c r="W99" s="45">
        <v>60</v>
      </c>
      <c r="X99" s="45">
        <v>60</v>
      </c>
      <c r="Y99" s="45">
        <v>60</v>
      </c>
      <c r="Z99" s="45">
        <v>60</v>
      </c>
      <c r="AA99" s="45">
        <v>60</v>
      </c>
      <c r="AB99" s="45">
        <v>60</v>
      </c>
      <c r="AC99" s="45">
        <v>60</v>
      </c>
      <c r="AD99" s="45">
        <v>60</v>
      </c>
      <c r="AE99" s="45">
        <v>60</v>
      </c>
      <c r="AF99" s="45">
        <v>60</v>
      </c>
      <c r="AG99" s="45">
        <v>60</v>
      </c>
      <c r="AH99" s="124">
        <v>60</v>
      </c>
      <c r="AI99" s="39" t="e">
        <f>Riskregister!#REF!</f>
        <v>#REF!</v>
      </c>
      <c r="AJ99" s="40" t="e">
        <f>Riskregister!#REF!</f>
        <v>#REF!</v>
      </c>
    </row>
    <row r="100" spans="1:36" x14ac:dyDescent="0.3">
      <c r="A100" s="32" t="e">
        <f>Riskregister!#REF!</f>
        <v>#REF!</v>
      </c>
      <c r="B100" s="32" t="e">
        <f>Riskregister!#REF!</f>
        <v>#REF!</v>
      </c>
      <c r="C100" s="33" t="e">
        <f>Riskregister!#REF!</f>
        <v>#REF!</v>
      </c>
      <c r="D100" s="34" t="e">
        <f>Riskregister!#REF!</f>
        <v>#REF!</v>
      </c>
      <c r="E100" s="34" t="e">
        <f>Riskregister!#REF!</f>
        <v>#REF!</v>
      </c>
      <c r="F100" s="35"/>
      <c r="G100" s="35"/>
      <c r="H100" s="35"/>
      <c r="I100" s="36"/>
      <c r="J100" s="44">
        <v>60</v>
      </c>
      <c r="K100" s="45">
        <v>60</v>
      </c>
      <c r="L100" s="45">
        <v>60</v>
      </c>
      <c r="M100" s="45">
        <v>60</v>
      </c>
      <c r="N100" s="45">
        <v>60</v>
      </c>
      <c r="O100" s="45">
        <v>60</v>
      </c>
      <c r="P100" s="45">
        <v>60</v>
      </c>
      <c r="Q100" s="45">
        <v>60</v>
      </c>
      <c r="R100" s="45">
        <v>60</v>
      </c>
      <c r="S100" s="45">
        <v>60</v>
      </c>
      <c r="T100" s="45">
        <v>60</v>
      </c>
      <c r="U100" s="45">
        <v>60</v>
      </c>
      <c r="V100" s="45">
        <v>60</v>
      </c>
      <c r="W100" s="45">
        <v>60</v>
      </c>
      <c r="X100" s="45">
        <v>60</v>
      </c>
      <c r="Y100" s="45">
        <v>60</v>
      </c>
      <c r="Z100" s="45">
        <v>60</v>
      </c>
      <c r="AA100" s="45">
        <v>60</v>
      </c>
      <c r="AB100" s="45">
        <v>60</v>
      </c>
      <c r="AC100" s="45">
        <v>60</v>
      </c>
      <c r="AD100" s="45">
        <v>60</v>
      </c>
      <c r="AE100" s="45">
        <v>60</v>
      </c>
      <c r="AF100" s="45">
        <v>60</v>
      </c>
      <c r="AG100" s="45">
        <v>60</v>
      </c>
      <c r="AH100" s="124">
        <v>60</v>
      </c>
      <c r="AI100" s="39" t="e">
        <f>Riskregister!#REF!</f>
        <v>#REF!</v>
      </c>
      <c r="AJ100" s="40" t="e">
        <f>Riskregister!#REF!</f>
        <v>#REF!</v>
      </c>
    </row>
    <row r="101" spans="1:36" x14ac:dyDescent="0.3">
      <c r="A101" s="32" t="e">
        <f>Riskregister!#REF!</f>
        <v>#REF!</v>
      </c>
      <c r="B101" s="32" t="e">
        <f>Riskregister!#REF!</f>
        <v>#REF!</v>
      </c>
      <c r="C101" s="33" t="e">
        <f>Riskregister!#REF!</f>
        <v>#REF!</v>
      </c>
      <c r="D101" s="34" t="e">
        <f>Riskregister!#REF!</f>
        <v>#REF!</v>
      </c>
      <c r="E101" s="34" t="e">
        <f>Riskregister!#REF!</f>
        <v>#REF!</v>
      </c>
      <c r="F101" s="35"/>
      <c r="G101" s="35"/>
      <c r="H101" s="35"/>
      <c r="I101" s="36"/>
      <c r="J101" s="44">
        <v>60</v>
      </c>
      <c r="K101" s="45">
        <v>60</v>
      </c>
      <c r="L101" s="45">
        <v>60</v>
      </c>
      <c r="M101" s="45">
        <v>60</v>
      </c>
      <c r="N101" s="45">
        <v>60</v>
      </c>
      <c r="O101" s="45">
        <v>60</v>
      </c>
      <c r="P101" s="45">
        <v>60</v>
      </c>
      <c r="Q101" s="45">
        <v>60</v>
      </c>
      <c r="R101" s="45">
        <v>60</v>
      </c>
      <c r="S101" s="45">
        <v>60</v>
      </c>
      <c r="T101" s="45">
        <v>60</v>
      </c>
      <c r="U101" s="45">
        <v>60</v>
      </c>
      <c r="V101" s="45">
        <v>60</v>
      </c>
      <c r="W101" s="45">
        <v>60</v>
      </c>
      <c r="X101" s="45">
        <v>60</v>
      </c>
      <c r="Y101" s="45">
        <v>60</v>
      </c>
      <c r="Z101" s="45">
        <v>60</v>
      </c>
      <c r="AA101" s="45">
        <v>60</v>
      </c>
      <c r="AB101" s="45">
        <v>60</v>
      </c>
      <c r="AC101" s="45">
        <v>60</v>
      </c>
      <c r="AD101" s="45">
        <v>60</v>
      </c>
      <c r="AE101" s="45">
        <v>60</v>
      </c>
      <c r="AF101" s="45">
        <v>60</v>
      </c>
      <c r="AG101" s="45">
        <v>60</v>
      </c>
      <c r="AH101" s="124">
        <v>60</v>
      </c>
      <c r="AI101" s="39" t="e">
        <f>Riskregister!#REF!</f>
        <v>#REF!</v>
      </c>
      <c r="AJ101" s="40" t="e">
        <f>Riskregister!#REF!</f>
        <v>#REF!</v>
      </c>
    </row>
    <row r="102" spans="1:36" x14ac:dyDescent="0.3">
      <c r="A102" s="32" t="e">
        <f>Riskregister!#REF!</f>
        <v>#REF!</v>
      </c>
      <c r="B102" s="32" t="e">
        <f>Riskregister!#REF!</f>
        <v>#REF!</v>
      </c>
      <c r="C102" s="33" t="e">
        <f>Riskregister!#REF!</f>
        <v>#REF!</v>
      </c>
      <c r="D102" s="34" t="e">
        <f>Riskregister!#REF!</f>
        <v>#REF!</v>
      </c>
      <c r="E102" s="34" t="e">
        <f>Riskregister!#REF!</f>
        <v>#REF!</v>
      </c>
      <c r="F102" s="35"/>
      <c r="G102" s="35"/>
      <c r="H102" s="35"/>
      <c r="I102" s="36"/>
      <c r="J102" s="44">
        <v>60</v>
      </c>
      <c r="K102" s="45">
        <v>60</v>
      </c>
      <c r="L102" s="45">
        <v>60</v>
      </c>
      <c r="M102" s="45">
        <v>60</v>
      </c>
      <c r="N102" s="45">
        <v>60</v>
      </c>
      <c r="O102" s="45">
        <v>60</v>
      </c>
      <c r="P102" s="45">
        <v>60</v>
      </c>
      <c r="Q102" s="45">
        <v>60</v>
      </c>
      <c r="R102" s="45">
        <v>60</v>
      </c>
      <c r="S102" s="45">
        <v>60</v>
      </c>
      <c r="T102" s="45">
        <v>60</v>
      </c>
      <c r="U102" s="45">
        <v>60</v>
      </c>
      <c r="V102" s="45">
        <v>60</v>
      </c>
      <c r="W102" s="45">
        <v>60</v>
      </c>
      <c r="X102" s="45">
        <v>60</v>
      </c>
      <c r="Y102" s="45">
        <v>60</v>
      </c>
      <c r="Z102" s="45">
        <v>60</v>
      </c>
      <c r="AA102" s="45">
        <v>60</v>
      </c>
      <c r="AB102" s="45">
        <v>60</v>
      </c>
      <c r="AC102" s="45">
        <v>60</v>
      </c>
      <c r="AD102" s="45">
        <v>60</v>
      </c>
      <c r="AE102" s="45">
        <v>60</v>
      </c>
      <c r="AF102" s="45">
        <v>60</v>
      </c>
      <c r="AG102" s="45">
        <v>60</v>
      </c>
      <c r="AH102" s="124">
        <v>60</v>
      </c>
      <c r="AI102" s="39" t="e">
        <f>Riskregister!#REF!</f>
        <v>#REF!</v>
      </c>
      <c r="AJ102" s="40" t="e">
        <f>Riskregister!#REF!</f>
        <v>#REF!</v>
      </c>
    </row>
    <row r="103" spans="1:36" x14ac:dyDescent="0.3">
      <c r="A103" s="32" t="e">
        <f>Riskregister!#REF!</f>
        <v>#REF!</v>
      </c>
      <c r="B103" s="32" t="e">
        <f>Riskregister!#REF!</f>
        <v>#REF!</v>
      </c>
      <c r="C103" s="33" t="e">
        <f>Riskregister!#REF!</f>
        <v>#REF!</v>
      </c>
      <c r="D103" s="34" t="e">
        <f>Riskregister!#REF!</f>
        <v>#REF!</v>
      </c>
      <c r="E103" s="34" t="e">
        <f>Riskregister!#REF!</f>
        <v>#REF!</v>
      </c>
      <c r="F103" s="35"/>
      <c r="G103" s="35"/>
      <c r="H103" s="35"/>
      <c r="I103" s="36"/>
      <c r="J103" s="44">
        <v>60</v>
      </c>
      <c r="K103" s="45">
        <v>60</v>
      </c>
      <c r="L103" s="45">
        <v>60</v>
      </c>
      <c r="M103" s="45">
        <v>60</v>
      </c>
      <c r="N103" s="45">
        <v>60</v>
      </c>
      <c r="O103" s="45">
        <v>60</v>
      </c>
      <c r="P103" s="45">
        <v>60</v>
      </c>
      <c r="Q103" s="45">
        <v>60</v>
      </c>
      <c r="R103" s="45">
        <v>60</v>
      </c>
      <c r="S103" s="45">
        <v>60</v>
      </c>
      <c r="T103" s="45">
        <v>60</v>
      </c>
      <c r="U103" s="45">
        <v>60</v>
      </c>
      <c r="V103" s="45">
        <v>60</v>
      </c>
      <c r="W103" s="45">
        <v>60</v>
      </c>
      <c r="X103" s="45">
        <v>60</v>
      </c>
      <c r="Y103" s="45">
        <v>60</v>
      </c>
      <c r="Z103" s="45">
        <v>60</v>
      </c>
      <c r="AA103" s="45">
        <v>60</v>
      </c>
      <c r="AB103" s="45">
        <v>60</v>
      </c>
      <c r="AC103" s="45">
        <v>60</v>
      </c>
      <c r="AD103" s="45">
        <v>60</v>
      </c>
      <c r="AE103" s="45">
        <v>60</v>
      </c>
      <c r="AF103" s="45">
        <v>60</v>
      </c>
      <c r="AG103" s="45">
        <v>60</v>
      </c>
      <c r="AH103" s="124">
        <v>60</v>
      </c>
      <c r="AI103" s="39" t="e">
        <f>Riskregister!#REF!</f>
        <v>#REF!</v>
      </c>
      <c r="AJ103" s="40" t="e">
        <f>Riskregister!#REF!</f>
        <v>#REF!</v>
      </c>
    </row>
    <row r="104" spans="1:36" x14ac:dyDescent="0.3">
      <c r="A104" s="32" t="e">
        <f>Riskregister!#REF!</f>
        <v>#REF!</v>
      </c>
      <c r="B104" s="32" t="e">
        <f>Riskregister!#REF!</f>
        <v>#REF!</v>
      </c>
      <c r="C104" s="33" t="e">
        <f>Riskregister!#REF!</f>
        <v>#REF!</v>
      </c>
      <c r="D104" s="34" t="e">
        <f>Riskregister!#REF!</f>
        <v>#REF!</v>
      </c>
      <c r="E104" s="34" t="e">
        <f>Riskregister!#REF!</f>
        <v>#REF!</v>
      </c>
      <c r="F104" s="35"/>
      <c r="G104" s="35"/>
      <c r="H104" s="35"/>
      <c r="I104" s="36"/>
      <c r="J104" s="44">
        <v>60</v>
      </c>
      <c r="K104" s="45">
        <v>60</v>
      </c>
      <c r="L104" s="45">
        <v>60</v>
      </c>
      <c r="M104" s="45">
        <v>60</v>
      </c>
      <c r="N104" s="45">
        <v>60</v>
      </c>
      <c r="O104" s="45">
        <v>60</v>
      </c>
      <c r="P104" s="45">
        <v>60</v>
      </c>
      <c r="Q104" s="45">
        <v>60</v>
      </c>
      <c r="R104" s="45">
        <v>60</v>
      </c>
      <c r="S104" s="45">
        <v>60</v>
      </c>
      <c r="T104" s="45">
        <v>60</v>
      </c>
      <c r="U104" s="45">
        <v>60</v>
      </c>
      <c r="V104" s="45">
        <v>60</v>
      </c>
      <c r="W104" s="45">
        <v>60</v>
      </c>
      <c r="X104" s="45">
        <v>60</v>
      </c>
      <c r="Y104" s="45">
        <v>60</v>
      </c>
      <c r="Z104" s="45">
        <v>60</v>
      </c>
      <c r="AA104" s="45">
        <v>60</v>
      </c>
      <c r="AB104" s="45">
        <v>60</v>
      </c>
      <c r="AC104" s="45">
        <v>60</v>
      </c>
      <c r="AD104" s="45">
        <v>60</v>
      </c>
      <c r="AE104" s="45">
        <v>60</v>
      </c>
      <c r="AF104" s="45">
        <v>60</v>
      </c>
      <c r="AG104" s="45">
        <v>60</v>
      </c>
      <c r="AH104" s="124">
        <v>60</v>
      </c>
      <c r="AI104" s="39" t="e">
        <f>Riskregister!#REF!</f>
        <v>#REF!</v>
      </c>
      <c r="AJ104" s="40" t="e">
        <f>Riskregister!#REF!</f>
        <v>#REF!</v>
      </c>
    </row>
    <row r="105" spans="1:36" x14ac:dyDescent="0.3">
      <c r="A105" s="32" t="e">
        <f>Riskregister!#REF!</f>
        <v>#REF!</v>
      </c>
      <c r="B105" s="32" t="e">
        <f>Riskregister!#REF!</f>
        <v>#REF!</v>
      </c>
      <c r="C105" s="33" t="e">
        <f>Riskregister!#REF!</f>
        <v>#REF!</v>
      </c>
      <c r="D105" s="34" t="e">
        <f>Riskregister!#REF!</f>
        <v>#REF!</v>
      </c>
      <c r="E105" s="34" t="e">
        <f>Riskregister!#REF!</f>
        <v>#REF!</v>
      </c>
      <c r="F105" s="35"/>
      <c r="G105" s="35"/>
      <c r="H105" s="35"/>
      <c r="I105" s="36"/>
      <c r="J105" s="44">
        <v>60</v>
      </c>
      <c r="K105" s="45">
        <v>60</v>
      </c>
      <c r="L105" s="45">
        <v>60</v>
      </c>
      <c r="M105" s="45">
        <v>60</v>
      </c>
      <c r="N105" s="45">
        <v>60</v>
      </c>
      <c r="O105" s="45">
        <v>60</v>
      </c>
      <c r="P105" s="45">
        <v>60</v>
      </c>
      <c r="Q105" s="45">
        <v>60</v>
      </c>
      <c r="R105" s="45">
        <v>60</v>
      </c>
      <c r="S105" s="45">
        <v>60</v>
      </c>
      <c r="T105" s="45">
        <v>60</v>
      </c>
      <c r="U105" s="45">
        <v>60</v>
      </c>
      <c r="V105" s="45">
        <v>60</v>
      </c>
      <c r="W105" s="45">
        <v>60</v>
      </c>
      <c r="X105" s="45">
        <v>60</v>
      </c>
      <c r="Y105" s="45">
        <v>60</v>
      </c>
      <c r="Z105" s="45">
        <v>60</v>
      </c>
      <c r="AA105" s="45">
        <v>60</v>
      </c>
      <c r="AB105" s="45">
        <v>60</v>
      </c>
      <c r="AC105" s="45">
        <v>60</v>
      </c>
      <c r="AD105" s="45">
        <v>60</v>
      </c>
      <c r="AE105" s="45">
        <v>60</v>
      </c>
      <c r="AF105" s="45">
        <v>60</v>
      </c>
      <c r="AG105" s="45">
        <v>60</v>
      </c>
      <c r="AH105" s="124">
        <v>60</v>
      </c>
      <c r="AI105" s="39" t="e">
        <f>Riskregister!#REF!</f>
        <v>#REF!</v>
      </c>
      <c r="AJ105" s="40" t="e">
        <f>Riskregister!#REF!</f>
        <v>#REF!</v>
      </c>
    </row>
    <row r="106" spans="1:36" x14ac:dyDescent="0.3">
      <c r="A106" s="32" t="e">
        <f>Riskregister!#REF!</f>
        <v>#REF!</v>
      </c>
      <c r="B106" s="32" t="e">
        <f>Riskregister!#REF!</f>
        <v>#REF!</v>
      </c>
      <c r="C106" s="33" t="e">
        <f>Riskregister!#REF!</f>
        <v>#REF!</v>
      </c>
      <c r="D106" s="34" t="e">
        <f>Riskregister!#REF!</f>
        <v>#REF!</v>
      </c>
      <c r="E106" s="34" t="e">
        <f>Riskregister!#REF!</f>
        <v>#REF!</v>
      </c>
      <c r="F106" s="35"/>
      <c r="G106" s="35"/>
      <c r="H106" s="35"/>
      <c r="I106" s="36"/>
      <c r="J106" s="44">
        <v>60</v>
      </c>
      <c r="K106" s="45">
        <v>60</v>
      </c>
      <c r="L106" s="45">
        <v>60</v>
      </c>
      <c r="M106" s="45">
        <v>60</v>
      </c>
      <c r="N106" s="45">
        <v>60</v>
      </c>
      <c r="O106" s="45">
        <v>60</v>
      </c>
      <c r="P106" s="45">
        <v>60</v>
      </c>
      <c r="Q106" s="45">
        <v>60</v>
      </c>
      <c r="R106" s="45">
        <v>60</v>
      </c>
      <c r="S106" s="45">
        <v>60</v>
      </c>
      <c r="T106" s="45">
        <v>60</v>
      </c>
      <c r="U106" s="45">
        <v>60</v>
      </c>
      <c r="V106" s="45">
        <v>60</v>
      </c>
      <c r="W106" s="45">
        <v>60</v>
      </c>
      <c r="X106" s="45">
        <v>60</v>
      </c>
      <c r="Y106" s="45">
        <v>60</v>
      </c>
      <c r="Z106" s="45">
        <v>60</v>
      </c>
      <c r="AA106" s="45">
        <v>60</v>
      </c>
      <c r="AB106" s="45">
        <v>60</v>
      </c>
      <c r="AC106" s="45">
        <v>60</v>
      </c>
      <c r="AD106" s="45">
        <v>60</v>
      </c>
      <c r="AE106" s="45">
        <v>60</v>
      </c>
      <c r="AF106" s="45">
        <v>60</v>
      </c>
      <c r="AG106" s="45">
        <v>60</v>
      </c>
      <c r="AH106" s="124">
        <v>60</v>
      </c>
      <c r="AI106" s="39" t="e">
        <f>Riskregister!#REF!</f>
        <v>#REF!</v>
      </c>
      <c r="AJ106" s="40" t="e">
        <f>Riskregister!#REF!</f>
        <v>#REF!</v>
      </c>
    </row>
    <row r="107" spans="1:36" x14ac:dyDescent="0.3">
      <c r="A107" s="32" t="e">
        <f>Riskregister!#REF!</f>
        <v>#REF!</v>
      </c>
      <c r="B107" s="32" t="e">
        <f>Riskregister!#REF!</f>
        <v>#REF!</v>
      </c>
      <c r="C107" s="33" t="e">
        <f>Riskregister!#REF!</f>
        <v>#REF!</v>
      </c>
      <c r="D107" s="34" t="e">
        <f>Riskregister!#REF!</f>
        <v>#REF!</v>
      </c>
      <c r="E107" s="34" t="e">
        <f>Riskregister!#REF!</f>
        <v>#REF!</v>
      </c>
      <c r="F107" s="35"/>
      <c r="G107" s="35"/>
      <c r="H107" s="35"/>
      <c r="I107" s="36"/>
      <c r="J107" s="44">
        <v>60</v>
      </c>
      <c r="K107" s="45">
        <v>60</v>
      </c>
      <c r="L107" s="45">
        <v>60</v>
      </c>
      <c r="M107" s="45">
        <v>60</v>
      </c>
      <c r="N107" s="45">
        <v>60</v>
      </c>
      <c r="O107" s="45">
        <v>60</v>
      </c>
      <c r="P107" s="45">
        <v>60</v>
      </c>
      <c r="Q107" s="45">
        <v>60</v>
      </c>
      <c r="R107" s="45">
        <v>60</v>
      </c>
      <c r="S107" s="45">
        <v>60</v>
      </c>
      <c r="T107" s="45">
        <v>60</v>
      </c>
      <c r="U107" s="45">
        <v>60</v>
      </c>
      <c r="V107" s="45">
        <v>60</v>
      </c>
      <c r="W107" s="45">
        <v>60</v>
      </c>
      <c r="X107" s="45">
        <v>60</v>
      </c>
      <c r="Y107" s="45">
        <v>60</v>
      </c>
      <c r="Z107" s="45">
        <v>60</v>
      </c>
      <c r="AA107" s="45">
        <v>60</v>
      </c>
      <c r="AB107" s="45">
        <v>60</v>
      </c>
      <c r="AC107" s="45">
        <v>60</v>
      </c>
      <c r="AD107" s="45">
        <v>60</v>
      </c>
      <c r="AE107" s="45">
        <v>60</v>
      </c>
      <c r="AF107" s="45">
        <v>60</v>
      </c>
      <c r="AG107" s="45">
        <v>60</v>
      </c>
      <c r="AH107" s="124">
        <v>60</v>
      </c>
      <c r="AI107" s="39" t="e">
        <f>Riskregister!#REF!</f>
        <v>#REF!</v>
      </c>
      <c r="AJ107" s="40" t="e">
        <f>Riskregister!#REF!</f>
        <v>#REF!</v>
      </c>
    </row>
    <row r="108" spans="1:36" x14ac:dyDescent="0.3">
      <c r="A108" s="32" t="e">
        <f>Riskregister!#REF!</f>
        <v>#REF!</v>
      </c>
      <c r="B108" s="32" t="e">
        <f>Riskregister!#REF!</f>
        <v>#REF!</v>
      </c>
      <c r="C108" s="33" t="e">
        <f>Riskregister!#REF!</f>
        <v>#REF!</v>
      </c>
      <c r="D108" s="34" t="e">
        <f>Riskregister!#REF!</f>
        <v>#REF!</v>
      </c>
      <c r="E108" s="34" t="e">
        <f>Riskregister!#REF!</f>
        <v>#REF!</v>
      </c>
      <c r="F108" s="35"/>
      <c r="G108" s="35"/>
      <c r="H108" s="35"/>
      <c r="I108" s="36"/>
      <c r="J108" s="44">
        <v>60</v>
      </c>
      <c r="K108" s="45">
        <v>60</v>
      </c>
      <c r="L108" s="45">
        <v>60</v>
      </c>
      <c r="M108" s="45">
        <v>60</v>
      </c>
      <c r="N108" s="45">
        <v>60</v>
      </c>
      <c r="O108" s="45">
        <v>60</v>
      </c>
      <c r="P108" s="45">
        <v>60</v>
      </c>
      <c r="Q108" s="45">
        <v>60</v>
      </c>
      <c r="R108" s="45">
        <v>60</v>
      </c>
      <c r="S108" s="45">
        <v>60</v>
      </c>
      <c r="T108" s="45">
        <v>60</v>
      </c>
      <c r="U108" s="45">
        <v>60</v>
      </c>
      <c r="V108" s="45">
        <v>60</v>
      </c>
      <c r="W108" s="45">
        <v>60</v>
      </c>
      <c r="X108" s="45">
        <v>60</v>
      </c>
      <c r="Y108" s="45">
        <v>60</v>
      </c>
      <c r="Z108" s="45">
        <v>60</v>
      </c>
      <c r="AA108" s="45">
        <v>60</v>
      </c>
      <c r="AB108" s="45">
        <v>60</v>
      </c>
      <c r="AC108" s="45">
        <v>60</v>
      </c>
      <c r="AD108" s="45">
        <v>60</v>
      </c>
      <c r="AE108" s="45">
        <v>60</v>
      </c>
      <c r="AF108" s="45">
        <v>60</v>
      </c>
      <c r="AG108" s="45">
        <v>60</v>
      </c>
      <c r="AH108" s="124">
        <v>60</v>
      </c>
      <c r="AI108" s="39" t="e">
        <f>Riskregister!#REF!</f>
        <v>#REF!</v>
      </c>
      <c r="AJ108" s="40" t="e">
        <f>Riskregister!#REF!</f>
        <v>#REF!</v>
      </c>
    </row>
    <row r="109" spans="1:36" x14ac:dyDescent="0.3">
      <c r="A109" s="32" t="e">
        <f>Riskregister!#REF!</f>
        <v>#REF!</v>
      </c>
      <c r="B109" s="32" t="e">
        <f>Riskregister!#REF!</f>
        <v>#REF!</v>
      </c>
      <c r="C109" s="33" t="e">
        <f>Riskregister!#REF!</f>
        <v>#REF!</v>
      </c>
      <c r="D109" s="34" t="e">
        <f>Riskregister!#REF!</f>
        <v>#REF!</v>
      </c>
      <c r="E109" s="34" t="e">
        <f>Riskregister!#REF!</f>
        <v>#REF!</v>
      </c>
      <c r="F109" s="35"/>
      <c r="G109" s="35"/>
      <c r="H109" s="35"/>
      <c r="I109" s="36"/>
      <c r="J109" s="44">
        <v>60</v>
      </c>
      <c r="K109" s="45">
        <v>60</v>
      </c>
      <c r="L109" s="45">
        <v>60</v>
      </c>
      <c r="M109" s="45">
        <v>60</v>
      </c>
      <c r="N109" s="45">
        <v>60</v>
      </c>
      <c r="O109" s="45">
        <v>60</v>
      </c>
      <c r="P109" s="45">
        <v>60</v>
      </c>
      <c r="Q109" s="45">
        <v>60</v>
      </c>
      <c r="R109" s="45">
        <v>60</v>
      </c>
      <c r="S109" s="45">
        <v>60</v>
      </c>
      <c r="T109" s="45">
        <v>60</v>
      </c>
      <c r="U109" s="45">
        <v>60</v>
      </c>
      <c r="V109" s="45">
        <v>60</v>
      </c>
      <c r="W109" s="45">
        <v>60</v>
      </c>
      <c r="X109" s="45">
        <v>60</v>
      </c>
      <c r="Y109" s="45">
        <v>60</v>
      </c>
      <c r="Z109" s="45">
        <v>60</v>
      </c>
      <c r="AA109" s="45">
        <v>60</v>
      </c>
      <c r="AB109" s="45">
        <v>60</v>
      </c>
      <c r="AC109" s="45">
        <v>60</v>
      </c>
      <c r="AD109" s="45">
        <v>60</v>
      </c>
      <c r="AE109" s="45">
        <v>60</v>
      </c>
      <c r="AF109" s="45">
        <v>60</v>
      </c>
      <c r="AG109" s="45">
        <v>60</v>
      </c>
      <c r="AH109" s="124">
        <v>60</v>
      </c>
      <c r="AI109" s="39" t="e">
        <f>Riskregister!#REF!</f>
        <v>#REF!</v>
      </c>
      <c r="AJ109" s="40" t="e">
        <f>Riskregister!#REF!</f>
        <v>#REF!</v>
      </c>
    </row>
    <row r="110" spans="1:36" x14ac:dyDescent="0.3">
      <c r="A110" s="32" t="e">
        <f>Riskregister!#REF!</f>
        <v>#REF!</v>
      </c>
      <c r="B110" s="32" t="e">
        <f>Riskregister!#REF!</f>
        <v>#REF!</v>
      </c>
      <c r="C110" s="33" t="e">
        <f>Riskregister!#REF!</f>
        <v>#REF!</v>
      </c>
      <c r="D110" s="34" t="e">
        <f>Riskregister!#REF!</f>
        <v>#REF!</v>
      </c>
      <c r="E110" s="34" t="e">
        <f>Riskregister!#REF!</f>
        <v>#REF!</v>
      </c>
      <c r="F110" s="35"/>
      <c r="G110" s="35"/>
      <c r="H110" s="35"/>
      <c r="I110" s="36"/>
      <c r="J110" s="44">
        <v>60</v>
      </c>
      <c r="K110" s="45">
        <v>60</v>
      </c>
      <c r="L110" s="45">
        <v>60</v>
      </c>
      <c r="M110" s="45">
        <v>60</v>
      </c>
      <c r="N110" s="45">
        <v>60</v>
      </c>
      <c r="O110" s="45">
        <v>60</v>
      </c>
      <c r="P110" s="45">
        <v>60</v>
      </c>
      <c r="Q110" s="45">
        <v>60</v>
      </c>
      <c r="R110" s="45">
        <v>60</v>
      </c>
      <c r="S110" s="45">
        <v>60</v>
      </c>
      <c r="T110" s="45">
        <v>60</v>
      </c>
      <c r="U110" s="45">
        <v>60</v>
      </c>
      <c r="V110" s="45">
        <v>60</v>
      </c>
      <c r="W110" s="45">
        <v>60</v>
      </c>
      <c r="X110" s="45">
        <v>60</v>
      </c>
      <c r="Y110" s="45">
        <v>60</v>
      </c>
      <c r="Z110" s="45">
        <v>60</v>
      </c>
      <c r="AA110" s="45">
        <v>60</v>
      </c>
      <c r="AB110" s="45">
        <v>60</v>
      </c>
      <c r="AC110" s="45">
        <v>60</v>
      </c>
      <c r="AD110" s="45">
        <v>60</v>
      </c>
      <c r="AE110" s="45">
        <v>60</v>
      </c>
      <c r="AF110" s="45">
        <v>60</v>
      </c>
      <c r="AG110" s="45">
        <v>60</v>
      </c>
      <c r="AH110" s="124">
        <v>60</v>
      </c>
      <c r="AI110" s="39" t="e">
        <f>Riskregister!#REF!</f>
        <v>#REF!</v>
      </c>
      <c r="AJ110" s="40" t="e">
        <f>Riskregister!#REF!</f>
        <v>#REF!</v>
      </c>
    </row>
    <row r="111" spans="1:36" x14ac:dyDescent="0.3">
      <c r="A111" s="32" t="e">
        <f>Riskregister!#REF!</f>
        <v>#REF!</v>
      </c>
      <c r="B111" s="32" t="e">
        <f>Riskregister!#REF!</f>
        <v>#REF!</v>
      </c>
      <c r="C111" s="33" t="e">
        <f>Riskregister!#REF!</f>
        <v>#REF!</v>
      </c>
      <c r="D111" s="34" t="e">
        <f>Riskregister!#REF!</f>
        <v>#REF!</v>
      </c>
      <c r="E111" s="34" t="e">
        <f>Riskregister!#REF!</f>
        <v>#REF!</v>
      </c>
      <c r="F111" s="35"/>
      <c r="G111" s="35"/>
      <c r="H111" s="35"/>
      <c r="I111" s="36"/>
      <c r="J111" s="44">
        <v>60</v>
      </c>
      <c r="K111" s="45">
        <v>60</v>
      </c>
      <c r="L111" s="45">
        <v>60</v>
      </c>
      <c r="M111" s="45">
        <v>60</v>
      </c>
      <c r="N111" s="45">
        <v>60</v>
      </c>
      <c r="O111" s="45">
        <v>60</v>
      </c>
      <c r="P111" s="45">
        <v>60</v>
      </c>
      <c r="Q111" s="45">
        <v>60</v>
      </c>
      <c r="R111" s="45">
        <v>60</v>
      </c>
      <c r="S111" s="45">
        <v>60</v>
      </c>
      <c r="T111" s="45">
        <v>60</v>
      </c>
      <c r="U111" s="45">
        <v>60</v>
      </c>
      <c r="V111" s="45">
        <v>60</v>
      </c>
      <c r="W111" s="45">
        <v>60</v>
      </c>
      <c r="X111" s="45">
        <v>60</v>
      </c>
      <c r="Y111" s="45">
        <v>60</v>
      </c>
      <c r="Z111" s="45">
        <v>60</v>
      </c>
      <c r="AA111" s="45">
        <v>60</v>
      </c>
      <c r="AB111" s="45">
        <v>60</v>
      </c>
      <c r="AC111" s="45">
        <v>60</v>
      </c>
      <c r="AD111" s="45">
        <v>60</v>
      </c>
      <c r="AE111" s="45">
        <v>60</v>
      </c>
      <c r="AF111" s="45">
        <v>60</v>
      </c>
      <c r="AG111" s="45">
        <v>60</v>
      </c>
      <c r="AH111" s="124">
        <v>60</v>
      </c>
      <c r="AI111" s="39" t="e">
        <f>Riskregister!#REF!</f>
        <v>#REF!</v>
      </c>
      <c r="AJ111" s="40" t="e">
        <f>Riskregister!#REF!</f>
        <v>#REF!</v>
      </c>
    </row>
    <row r="112" spans="1:36" x14ac:dyDescent="0.3">
      <c r="A112" s="32" t="e">
        <f>Riskregister!#REF!</f>
        <v>#REF!</v>
      </c>
      <c r="B112" s="32" t="e">
        <f>Riskregister!#REF!</f>
        <v>#REF!</v>
      </c>
      <c r="C112" s="33" t="e">
        <f>Riskregister!#REF!</f>
        <v>#REF!</v>
      </c>
      <c r="D112" s="34" t="e">
        <f>Riskregister!#REF!</f>
        <v>#REF!</v>
      </c>
      <c r="E112" s="34" t="e">
        <f>Riskregister!#REF!</f>
        <v>#REF!</v>
      </c>
      <c r="F112" s="35"/>
      <c r="G112" s="35"/>
      <c r="H112" s="35"/>
      <c r="I112" s="36"/>
      <c r="J112" s="44">
        <v>60</v>
      </c>
      <c r="K112" s="45">
        <v>60</v>
      </c>
      <c r="L112" s="45">
        <v>60</v>
      </c>
      <c r="M112" s="45">
        <v>60</v>
      </c>
      <c r="N112" s="45">
        <v>60</v>
      </c>
      <c r="O112" s="45">
        <v>60</v>
      </c>
      <c r="P112" s="45">
        <v>60</v>
      </c>
      <c r="Q112" s="45">
        <v>60</v>
      </c>
      <c r="R112" s="45">
        <v>60</v>
      </c>
      <c r="S112" s="45">
        <v>60</v>
      </c>
      <c r="T112" s="45">
        <v>60</v>
      </c>
      <c r="U112" s="45">
        <v>60</v>
      </c>
      <c r="V112" s="45">
        <v>60</v>
      </c>
      <c r="W112" s="45">
        <v>60</v>
      </c>
      <c r="X112" s="45">
        <v>60</v>
      </c>
      <c r="Y112" s="45">
        <v>60</v>
      </c>
      <c r="Z112" s="45">
        <v>60</v>
      </c>
      <c r="AA112" s="45">
        <v>60</v>
      </c>
      <c r="AB112" s="45">
        <v>60</v>
      </c>
      <c r="AC112" s="45">
        <v>60</v>
      </c>
      <c r="AD112" s="45">
        <v>60</v>
      </c>
      <c r="AE112" s="45">
        <v>60</v>
      </c>
      <c r="AF112" s="45">
        <v>60</v>
      </c>
      <c r="AG112" s="45">
        <v>60</v>
      </c>
      <c r="AH112" s="124">
        <v>60</v>
      </c>
      <c r="AI112" s="39" t="e">
        <f>Riskregister!#REF!</f>
        <v>#REF!</v>
      </c>
      <c r="AJ112" s="40" t="e">
        <f>Riskregister!#REF!</f>
        <v>#REF!</v>
      </c>
    </row>
    <row r="113" spans="1:36" x14ac:dyDescent="0.3">
      <c r="A113" s="32" t="e">
        <f>Riskregister!#REF!</f>
        <v>#REF!</v>
      </c>
      <c r="B113" s="32" t="e">
        <f>Riskregister!#REF!</f>
        <v>#REF!</v>
      </c>
      <c r="C113" s="33" t="e">
        <f>Riskregister!#REF!</f>
        <v>#REF!</v>
      </c>
      <c r="D113" s="34" t="e">
        <f>Riskregister!#REF!</f>
        <v>#REF!</v>
      </c>
      <c r="E113" s="34" t="e">
        <f>Riskregister!#REF!</f>
        <v>#REF!</v>
      </c>
      <c r="F113" s="35"/>
      <c r="G113" s="35"/>
      <c r="H113" s="35"/>
      <c r="I113" s="36"/>
      <c r="J113" s="44">
        <v>60</v>
      </c>
      <c r="K113" s="45">
        <v>60</v>
      </c>
      <c r="L113" s="45">
        <v>60</v>
      </c>
      <c r="M113" s="45">
        <v>60</v>
      </c>
      <c r="N113" s="45">
        <v>60</v>
      </c>
      <c r="O113" s="45">
        <v>60</v>
      </c>
      <c r="P113" s="45">
        <v>60</v>
      </c>
      <c r="Q113" s="45">
        <v>60</v>
      </c>
      <c r="R113" s="45">
        <v>60</v>
      </c>
      <c r="S113" s="45">
        <v>60</v>
      </c>
      <c r="T113" s="45">
        <v>60</v>
      </c>
      <c r="U113" s="45">
        <v>60</v>
      </c>
      <c r="V113" s="45">
        <v>60</v>
      </c>
      <c r="W113" s="45">
        <v>60</v>
      </c>
      <c r="X113" s="45">
        <v>60</v>
      </c>
      <c r="Y113" s="45">
        <v>60</v>
      </c>
      <c r="Z113" s="45">
        <v>60</v>
      </c>
      <c r="AA113" s="45">
        <v>60</v>
      </c>
      <c r="AB113" s="45">
        <v>60</v>
      </c>
      <c r="AC113" s="45">
        <v>60</v>
      </c>
      <c r="AD113" s="45">
        <v>60</v>
      </c>
      <c r="AE113" s="45">
        <v>60</v>
      </c>
      <c r="AF113" s="45">
        <v>60</v>
      </c>
      <c r="AG113" s="45">
        <v>60</v>
      </c>
      <c r="AH113" s="124">
        <v>60</v>
      </c>
      <c r="AI113" s="39" t="e">
        <f>Riskregister!#REF!</f>
        <v>#REF!</v>
      </c>
      <c r="AJ113" s="40" t="e">
        <f>Riskregister!#REF!</f>
        <v>#REF!</v>
      </c>
    </row>
    <row r="114" spans="1:36" x14ac:dyDescent="0.3">
      <c r="A114" s="32" t="e">
        <f>Riskregister!#REF!</f>
        <v>#REF!</v>
      </c>
      <c r="B114" s="32" t="e">
        <f>Riskregister!#REF!</f>
        <v>#REF!</v>
      </c>
      <c r="C114" s="33" t="e">
        <f>Riskregister!#REF!</f>
        <v>#REF!</v>
      </c>
      <c r="D114" s="34" t="e">
        <f>Riskregister!#REF!</f>
        <v>#REF!</v>
      </c>
      <c r="E114" s="34" t="e">
        <f>Riskregister!#REF!</f>
        <v>#REF!</v>
      </c>
      <c r="F114" s="35"/>
      <c r="G114" s="35"/>
      <c r="H114" s="35"/>
      <c r="I114" s="36"/>
      <c r="J114" s="44">
        <v>60</v>
      </c>
      <c r="K114" s="45">
        <v>60</v>
      </c>
      <c r="L114" s="45">
        <v>60</v>
      </c>
      <c r="M114" s="45">
        <v>60</v>
      </c>
      <c r="N114" s="45">
        <v>60</v>
      </c>
      <c r="O114" s="45">
        <v>60</v>
      </c>
      <c r="P114" s="45">
        <v>60</v>
      </c>
      <c r="Q114" s="45">
        <v>60</v>
      </c>
      <c r="R114" s="45">
        <v>60</v>
      </c>
      <c r="S114" s="45">
        <v>60</v>
      </c>
      <c r="T114" s="45">
        <v>60</v>
      </c>
      <c r="U114" s="45">
        <v>60</v>
      </c>
      <c r="V114" s="45">
        <v>60</v>
      </c>
      <c r="W114" s="45">
        <v>60</v>
      </c>
      <c r="X114" s="45">
        <v>60</v>
      </c>
      <c r="Y114" s="45">
        <v>60</v>
      </c>
      <c r="Z114" s="45">
        <v>60</v>
      </c>
      <c r="AA114" s="45">
        <v>60</v>
      </c>
      <c r="AB114" s="45">
        <v>60</v>
      </c>
      <c r="AC114" s="45">
        <v>60</v>
      </c>
      <c r="AD114" s="45">
        <v>60</v>
      </c>
      <c r="AE114" s="45">
        <v>60</v>
      </c>
      <c r="AF114" s="45">
        <v>60</v>
      </c>
      <c r="AG114" s="45">
        <v>60</v>
      </c>
      <c r="AH114" s="124">
        <v>60</v>
      </c>
      <c r="AI114" s="39" t="e">
        <f>Riskregister!#REF!</f>
        <v>#REF!</v>
      </c>
      <c r="AJ114" s="40" t="e">
        <f>Riskregister!#REF!</f>
        <v>#REF!</v>
      </c>
    </row>
    <row r="115" spans="1:36" x14ac:dyDescent="0.3">
      <c r="A115" s="32" t="e">
        <f>Riskregister!#REF!</f>
        <v>#REF!</v>
      </c>
      <c r="B115" s="32" t="e">
        <f>Riskregister!#REF!</f>
        <v>#REF!</v>
      </c>
      <c r="C115" s="33" t="e">
        <f>Riskregister!#REF!</f>
        <v>#REF!</v>
      </c>
      <c r="D115" s="34" t="e">
        <f>Riskregister!#REF!</f>
        <v>#REF!</v>
      </c>
      <c r="E115" s="34" t="e">
        <f>Riskregister!#REF!</f>
        <v>#REF!</v>
      </c>
      <c r="F115" s="35"/>
      <c r="G115" s="35"/>
      <c r="H115" s="35"/>
      <c r="I115" s="36"/>
      <c r="J115" s="44">
        <v>60</v>
      </c>
      <c r="K115" s="45">
        <v>60</v>
      </c>
      <c r="L115" s="45">
        <v>60</v>
      </c>
      <c r="M115" s="45">
        <v>60</v>
      </c>
      <c r="N115" s="45">
        <v>60</v>
      </c>
      <c r="O115" s="45">
        <v>60</v>
      </c>
      <c r="P115" s="45">
        <v>60</v>
      </c>
      <c r="Q115" s="45">
        <v>60</v>
      </c>
      <c r="R115" s="45">
        <v>60</v>
      </c>
      <c r="S115" s="45">
        <v>60</v>
      </c>
      <c r="T115" s="45">
        <v>60</v>
      </c>
      <c r="U115" s="45">
        <v>60</v>
      </c>
      <c r="V115" s="45">
        <v>60</v>
      </c>
      <c r="W115" s="45">
        <v>60</v>
      </c>
      <c r="X115" s="45">
        <v>60</v>
      </c>
      <c r="Y115" s="45">
        <v>60</v>
      </c>
      <c r="Z115" s="45">
        <v>60</v>
      </c>
      <c r="AA115" s="45">
        <v>60</v>
      </c>
      <c r="AB115" s="45">
        <v>60</v>
      </c>
      <c r="AC115" s="45">
        <v>60</v>
      </c>
      <c r="AD115" s="45">
        <v>60</v>
      </c>
      <c r="AE115" s="45">
        <v>60</v>
      </c>
      <c r="AF115" s="45">
        <v>60</v>
      </c>
      <c r="AG115" s="45">
        <v>60</v>
      </c>
      <c r="AH115" s="124">
        <v>60</v>
      </c>
      <c r="AI115" s="39" t="e">
        <f>Riskregister!#REF!</f>
        <v>#REF!</v>
      </c>
      <c r="AJ115" s="40" t="e">
        <f>Riskregister!#REF!</f>
        <v>#REF!</v>
      </c>
    </row>
    <row r="116" spans="1:36" x14ac:dyDescent="0.3">
      <c r="A116" s="32" t="e">
        <f>Riskregister!#REF!</f>
        <v>#REF!</v>
      </c>
      <c r="B116" s="32" t="e">
        <f>Riskregister!#REF!</f>
        <v>#REF!</v>
      </c>
      <c r="C116" s="33" t="e">
        <f>Riskregister!#REF!</f>
        <v>#REF!</v>
      </c>
      <c r="D116" s="34" t="e">
        <f>Riskregister!#REF!</f>
        <v>#REF!</v>
      </c>
      <c r="E116" s="34" t="e">
        <f>Riskregister!#REF!</f>
        <v>#REF!</v>
      </c>
      <c r="F116" s="35"/>
      <c r="G116" s="35"/>
      <c r="H116" s="35"/>
      <c r="I116" s="36"/>
      <c r="J116" s="44">
        <v>60</v>
      </c>
      <c r="K116" s="45">
        <v>60</v>
      </c>
      <c r="L116" s="45">
        <v>60</v>
      </c>
      <c r="M116" s="45">
        <v>60</v>
      </c>
      <c r="N116" s="45">
        <v>60</v>
      </c>
      <c r="O116" s="45">
        <v>60</v>
      </c>
      <c r="P116" s="45">
        <v>60</v>
      </c>
      <c r="Q116" s="45">
        <v>60</v>
      </c>
      <c r="R116" s="45">
        <v>60</v>
      </c>
      <c r="S116" s="45">
        <v>60</v>
      </c>
      <c r="T116" s="45">
        <v>60</v>
      </c>
      <c r="U116" s="45">
        <v>60</v>
      </c>
      <c r="V116" s="45">
        <v>60</v>
      </c>
      <c r="W116" s="45">
        <v>60</v>
      </c>
      <c r="X116" s="45">
        <v>60</v>
      </c>
      <c r="Y116" s="45">
        <v>60</v>
      </c>
      <c r="Z116" s="45">
        <v>60</v>
      </c>
      <c r="AA116" s="45">
        <v>60</v>
      </c>
      <c r="AB116" s="45">
        <v>60</v>
      </c>
      <c r="AC116" s="45">
        <v>60</v>
      </c>
      <c r="AD116" s="45">
        <v>60</v>
      </c>
      <c r="AE116" s="45">
        <v>60</v>
      </c>
      <c r="AF116" s="45">
        <v>60</v>
      </c>
      <c r="AG116" s="45">
        <v>60</v>
      </c>
      <c r="AH116" s="124">
        <v>60</v>
      </c>
      <c r="AI116" s="39" t="e">
        <f>Riskregister!#REF!</f>
        <v>#REF!</v>
      </c>
      <c r="AJ116" s="40" t="e">
        <f>Riskregister!#REF!</f>
        <v>#REF!</v>
      </c>
    </row>
    <row r="117" spans="1:36" x14ac:dyDescent="0.3">
      <c r="A117" s="32" t="e">
        <f>Riskregister!#REF!</f>
        <v>#REF!</v>
      </c>
      <c r="B117" s="32" t="e">
        <f>Riskregister!#REF!</f>
        <v>#REF!</v>
      </c>
      <c r="C117" s="33" t="e">
        <f>Riskregister!#REF!</f>
        <v>#REF!</v>
      </c>
      <c r="D117" s="34" t="e">
        <f>Riskregister!#REF!</f>
        <v>#REF!</v>
      </c>
      <c r="E117" s="34" t="e">
        <f>Riskregister!#REF!</f>
        <v>#REF!</v>
      </c>
      <c r="F117" s="35"/>
      <c r="G117" s="35"/>
      <c r="H117" s="35"/>
      <c r="I117" s="36"/>
      <c r="J117" s="44">
        <v>60</v>
      </c>
      <c r="K117" s="45">
        <v>60</v>
      </c>
      <c r="L117" s="45">
        <v>60</v>
      </c>
      <c r="M117" s="45">
        <v>60</v>
      </c>
      <c r="N117" s="45">
        <v>60</v>
      </c>
      <c r="O117" s="45">
        <v>60</v>
      </c>
      <c r="P117" s="45">
        <v>60</v>
      </c>
      <c r="Q117" s="45">
        <v>60</v>
      </c>
      <c r="R117" s="45">
        <v>60</v>
      </c>
      <c r="S117" s="45">
        <v>60</v>
      </c>
      <c r="T117" s="45">
        <v>60</v>
      </c>
      <c r="U117" s="45">
        <v>60</v>
      </c>
      <c r="V117" s="45">
        <v>60</v>
      </c>
      <c r="W117" s="45">
        <v>60</v>
      </c>
      <c r="X117" s="45">
        <v>60</v>
      </c>
      <c r="Y117" s="45">
        <v>60</v>
      </c>
      <c r="Z117" s="45">
        <v>60</v>
      </c>
      <c r="AA117" s="45">
        <v>60</v>
      </c>
      <c r="AB117" s="45">
        <v>60</v>
      </c>
      <c r="AC117" s="45">
        <v>60</v>
      </c>
      <c r="AD117" s="45">
        <v>60</v>
      </c>
      <c r="AE117" s="45">
        <v>60</v>
      </c>
      <c r="AF117" s="45">
        <v>60</v>
      </c>
      <c r="AG117" s="45">
        <v>60</v>
      </c>
      <c r="AH117" s="124">
        <v>60</v>
      </c>
      <c r="AI117" s="39" t="e">
        <f>Riskregister!#REF!</f>
        <v>#REF!</v>
      </c>
      <c r="AJ117" s="40" t="e">
        <f>Riskregister!#REF!</f>
        <v>#REF!</v>
      </c>
    </row>
    <row r="118" spans="1:36" x14ac:dyDescent="0.3">
      <c r="A118" s="32" t="e">
        <f>Riskregister!#REF!</f>
        <v>#REF!</v>
      </c>
      <c r="B118" s="32" t="e">
        <f>Riskregister!#REF!</f>
        <v>#REF!</v>
      </c>
      <c r="C118" s="33" t="e">
        <f>Riskregister!#REF!</f>
        <v>#REF!</v>
      </c>
      <c r="D118" s="34" t="e">
        <f>Riskregister!#REF!</f>
        <v>#REF!</v>
      </c>
      <c r="E118" s="34" t="e">
        <f>Riskregister!#REF!</f>
        <v>#REF!</v>
      </c>
      <c r="F118" s="35"/>
      <c r="G118" s="35"/>
      <c r="H118" s="35"/>
      <c r="I118" s="36"/>
      <c r="J118" s="44">
        <v>60</v>
      </c>
      <c r="K118" s="45">
        <v>60</v>
      </c>
      <c r="L118" s="45">
        <v>60</v>
      </c>
      <c r="M118" s="45">
        <v>60</v>
      </c>
      <c r="N118" s="45">
        <v>60</v>
      </c>
      <c r="O118" s="45">
        <v>60</v>
      </c>
      <c r="P118" s="45">
        <v>60</v>
      </c>
      <c r="Q118" s="45">
        <v>60</v>
      </c>
      <c r="R118" s="45">
        <v>60</v>
      </c>
      <c r="S118" s="45">
        <v>60</v>
      </c>
      <c r="T118" s="45">
        <v>60</v>
      </c>
      <c r="U118" s="45">
        <v>60</v>
      </c>
      <c r="V118" s="45">
        <v>60</v>
      </c>
      <c r="W118" s="45">
        <v>60</v>
      </c>
      <c r="X118" s="45">
        <v>60</v>
      </c>
      <c r="Y118" s="45">
        <v>60</v>
      </c>
      <c r="Z118" s="45">
        <v>60</v>
      </c>
      <c r="AA118" s="45">
        <v>60</v>
      </c>
      <c r="AB118" s="45">
        <v>60</v>
      </c>
      <c r="AC118" s="45">
        <v>60</v>
      </c>
      <c r="AD118" s="45">
        <v>60</v>
      </c>
      <c r="AE118" s="45">
        <v>60</v>
      </c>
      <c r="AF118" s="45">
        <v>60</v>
      </c>
      <c r="AG118" s="45">
        <v>60</v>
      </c>
      <c r="AH118" s="124">
        <v>60</v>
      </c>
      <c r="AI118" s="39" t="e">
        <f>Riskregister!#REF!</f>
        <v>#REF!</v>
      </c>
      <c r="AJ118" s="40" t="e">
        <f>Riskregister!#REF!</f>
        <v>#REF!</v>
      </c>
    </row>
    <row r="119" spans="1:36" x14ac:dyDescent="0.3">
      <c r="A119" s="32" t="e">
        <f>Riskregister!#REF!</f>
        <v>#REF!</v>
      </c>
      <c r="B119" s="32" t="e">
        <f>Riskregister!#REF!</f>
        <v>#REF!</v>
      </c>
      <c r="C119" s="33" t="e">
        <f>Riskregister!#REF!</f>
        <v>#REF!</v>
      </c>
      <c r="D119" s="34" t="e">
        <f>Riskregister!#REF!</f>
        <v>#REF!</v>
      </c>
      <c r="E119" s="34" t="e">
        <f>Riskregister!#REF!</f>
        <v>#REF!</v>
      </c>
      <c r="F119" s="35"/>
      <c r="G119" s="35"/>
      <c r="H119" s="35"/>
      <c r="I119" s="36"/>
      <c r="J119" s="44">
        <v>60</v>
      </c>
      <c r="K119" s="45">
        <v>60</v>
      </c>
      <c r="L119" s="45">
        <v>60</v>
      </c>
      <c r="M119" s="45">
        <v>60</v>
      </c>
      <c r="N119" s="45">
        <v>60</v>
      </c>
      <c r="O119" s="45">
        <v>60</v>
      </c>
      <c r="P119" s="45">
        <v>60</v>
      </c>
      <c r="Q119" s="45">
        <v>60</v>
      </c>
      <c r="R119" s="45">
        <v>60</v>
      </c>
      <c r="S119" s="45">
        <v>60</v>
      </c>
      <c r="T119" s="45">
        <v>60</v>
      </c>
      <c r="U119" s="45">
        <v>60</v>
      </c>
      <c r="V119" s="45">
        <v>60</v>
      </c>
      <c r="W119" s="45">
        <v>60</v>
      </c>
      <c r="X119" s="45">
        <v>60</v>
      </c>
      <c r="Y119" s="45">
        <v>60</v>
      </c>
      <c r="Z119" s="45">
        <v>60</v>
      </c>
      <c r="AA119" s="45">
        <v>60</v>
      </c>
      <c r="AB119" s="45">
        <v>60</v>
      </c>
      <c r="AC119" s="45">
        <v>60</v>
      </c>
      <c r="AD119" s="45">
        <v>60</v>
      </c>
      <c r="AE119" s="45">
        <v>60</v>
      </c>
      <c r="AF119" s="45">
        <v>60</v>
      </c>
      <c r="AG119" s="45">
        <v>60</v>
      </c>
      <c r="AH119" s="124">
        <v>60</v>
      </c>
      <c r="AI119" s="39" t="e">
        <f>Riskregister!#REF!</f>
        <v>#REF!</v>
      </c>
      <c r="AJ119" s="40" t="e">
        <f>Riskregister!#REF!</f>
        <v>#REF!</v>
      </c>
    </row>
    <row r="120" spans="1:36" x14ac:dyDescent="0.3">
      <c r="A120" s="32" t="e">
        <f>Riskregister!#REF!</f>
        <v>#REF!</v>
      </c>
      <c r="B120" s="32" t="e">
        <f>Riskregister!#REF!</f>
        <v>#REF!</v>
      </c>
      <c r="C120" s="33" t="e">
        <f>Riskregister!#REF!</f>
        <v>#REF!</v>
      </c>
      <c r="D120" s="34" t="e">
        <f>Riskregister!#REF!</f>
        <v>#REF!</v>
      </c>
      <c r="E120" s="34" t="e">
        <f>Riskregister!#REF!</f>
        <v>#REF!</v>
      </c>
      <c r="F120" s="35"/>
      <c r="G120" s="35"/>
      <c r="H120" s="35"/>
      <c r="I120" s="36"/>
      <c r="J120" s="44">
        <v>60</v>
      </c>
      <c r="K120" s="45">
        <v>60</v>
      </c>
      <c r="L120" s="45">
        <v>60</v>
      </c>
      <c r="M120" s="45">
        <v>60</v>
      </c>
      <c r="N120" s="45">
        <v>60</v>
      </c>
      <c r="O120" s="45">
        <v>60</v>
      </c>
      <c r="P120" s="45">
        <v>60</v>
      </c>
      <c r="Q120" s="45">
        <v>60</v>
      </c>
      <c r="R120" s="45">
        <v>60</v>
      </c>
      <c r="S120" s="45">
        <v>60</v>
      </c>
      <c r="T120" s="45">
        <v>60</v>
      </c>
      <c r="U120" s="45">
        <v>60</v>
      </c>
      <c r="V120" s="45">
        <v>60</v>
      </c>
      <c r="W120" s="45">
        <v>60</v>
      </c>
      <c r="X120" s="45">
        <v>60</v>
      </c>
      <c r="Y120" s="45">
        <v>60</v>
      </c>
      <c r="Z120" s="45">
        <v>60</v>
      </c>
      <c r="AA120" s="45">
        <v>60</v>
      </c>
      <c r="AB120" s="45">
        <v>60</v>
      </c>
      <c r="AC120" s="45">
        <v>60</v>
      </c>
      <c r="AD120" s="45">
        <v>60</v>
      </c>
      <c r="AE120" s="45">
        <v>60</v>
      </c>
      <c r="AF120" s="45">
        <v>60</v>
      </c>
      <c r="AG120" s="45">
        <v>60</v>
      </c>
      <c r="AH120" s="124">
        <v>60</v>
      </c>
      <c r="AI120" s="39" t="e">
        <f>Riskregister!#REF!</f>
        <v>#REF!</v>
      </c>
      <c r="AJ120" s="40" t="e">
        <f>Riskregister!#REF!</f>
        <v>#REF!</v>
      </c>
    </row>
    <row r="121" spans="1:36" x14ac:dyDescent="0.3">
      <c r="A121" s="32" t="e">
        <f>Riskregister!#REF!</f>
        <v>#REF!</v>
      </c>
      <c r="B121" s="32" t="e">
        <f>Riskregister!#REF!</f>
        <v>#REF!</v>
      </c>
      <c r="C121" s="33" t="e">
        <f>Riskregister!#REF!</f>
        <v>#REF!</v>
      </c>
      <c r="D121" s="34" t="e">
        <f>Riskregister!#REF!</f>
        <v>#REF!</v>
      </c>
      <c r="E121" s="34" t="e">
        <f>Riskregister!#REF!</f>
        <v>#REF!</v>
      </c>
      <c r="F121" s="35"/>
      <c r="G121" s="35"/>
      <c r="H121" s="35"/>
      <c r="I121" s="36"/>
      <c r="J121" s="44">
        <v>60</v>
      </c>
      <c r="K121" s="45">
        <v>60</v>
      </c>
      <c r="L121" s="45">
        <v>60</v>
      </c>
      <c r="M121" s="45">
        <v>60</v>
      </c>
      <c r="N121" s="45">
        <v>60</v>
      </c>
      <c r="O121" s="45">
        <v>60</v>
      </c>
      <c r="P121" s="45">
        <v>60</v>
      </c>
      <c r="Q121" s="45">
        <v>60</v>
      </c>
      <c r="R121" s="45">
        <v>60</v>
      </c>
      <c r="S121" s="45">
        <v>60</v>
      </c>
      <c r="T121" s="45">
        <v>60</v>
      </c>
      <c r="U121" s="45">
        <v>60</v>
      </c>
      <c r="V121" s="45">
        <v>60</v>
      </c>
      <c r="W121" s="45">
        <v>60</v>
      </c>
      <c r="X121" s="45">
        <v>60</v>
      </c>
      <c r="Y121" s="45">
        <v>60</v>
      </c>
      <c r="Z121" s="45">
        <v>60</v>
      </c>
      <c r="AA121" s="45">
        <v>60</v>
      </c>
      <c r="AB121" s="45">
        <v>60</v>
      </c>
      <c r="AC121" s="45">
        <v>60</v>
      </c>
      <c r="AD121" s="45">
        <v>60</v>
      </c>
      <c r="AE121" s="45">
        <v>60</v>
      </c>
      <c r="AF121" s="45">
        <v>60</v>
      </c>
      <c r="AG121" s="45">
        <v>60</v>
      </c>
      <c r="AH121" s="124">
        <v>60</v>
      </c>
      <c r="AI121" s="39" t="e">
        <f>Riskregister!#REF!</f>
        <v>#REF!</v>
      </c>
      <c r="AJ121" s="40" t="e">
        <f>Riskregister!#REF!</f>
        <v>#REF!</v>
      </c>
    </row>
    <row r="122" spans="1:36" x14ac:dyDescent="0.3">
      <c r="A122" s="32" t="e">
        <f>Riskregister!#REF!</f>
        <v>#REF!</v>
      </c>
      <c r="B122" s="32" t="e">
        <f>Riskregister!#REF!</f>
        <v>#REF!</v>
      </c>
      <c r="C122" s="33" t="e">
        <f>Riskregister!#REF!</f>
        <v>#REF!</v>
      </c>
      <c r="D122" s="34" t="e">
        <f>Riskregister!#REF!</f>
        <v>#REF!</v>
      </c>
      <c r="E122" s="34" t="e">
        <f>Riskregister!#REF!</f>
        <v>#REF!</v>
      </c>
      <c r="F122" s="35"/>
      <c r="G122" s="35"/>
      <c r="H122" s="35"/>
      <c r="I122" s="36"/>
      <c r="J122" s="46">
        <v>60</v>
      </c>
      <c r="K122" s="47">
        <v>60</v>
      </c>
      <c r="L122" s="47">
        <v>60</v>
      </c>
      <c r="M122" s="47">
        <v>60</v>
      </c>
      <c r="N122" s="47">
        <v>60</v>
      </c>
      <c r="O122" s="47">
        <v>60</v>
      </c>
      <c r="P122" s="47">
        <v>60</v>
      </c>
      <c r="Q122" s="47">
        <v>60</v>
      </c>
      <c r="R122" s="47">
        <v>60</v>
      </c>
      <c r="S122" s="47">
        <v>60</v>
      </c>
      <c r="T122" s="47">
        <v>60</v>
      </c>
      <c r="U122" s="47">
        <v>60</v>
      </c>
      <c r="V122" s="47">
        <v>60</v>
      </c>
      <c r="W122" s="47">
        <v>60</v>
      </c>
      <c r="X122" s="47">
        <v>60</v>
      </c>
      <c r="Y122" s="47">
        <v>60</v>
      </c>
      <c r="Z122" s="47">
        <v>60</v>
      </c>
      <c r="AA122" s="47">
        <v>60</v>
      </c>
      <c r="AB122" s="47">
        <v>60</v>
      </c>
      <c r="AC122" s="47">
        <v>60</v>
      </c>
      <c r="AD122" s="47">
        <v>60</v>
      </c>
      <c r="AE122" s="47">
        <v>60</v>
      </c>
      <c r="AF122" s="47">
        <v>60</v>
      </c>
      <c r="AG122" s="47">
        <v>60</v>
      </c>
      <c r="AH122" s="125">
        <v>60</v>
      </c>
      <c r="AI122" s="39" t="e">
        <f>Riskregister!#REF!</f>
        <v>#REF!</v>
      </c>
      <c r="AJ122" s="40" t="e">
        <f>Riskregister!#REF!</f>
        <v>#REF!</v>
      </c>
    </row>
  </sheetData>
  <sheetProtection formatCells="0" formatColumns="0" formatRows="0" insertRows="0" insertHyperlinks="0" deleteRows="0" selectLockedCells="1" sort="0" autoFilter="0"/>
  <sortState xmlns:xlrd2="http://schemas.microsoft.com/office/spreadsheetml/2017/richdata2" ref="A6:AI60">
    <sortCondition descending="1" ref="G6:G60"/>
  </sortState>
  <conditionalFormatting sqref="AJ6:AJ122">
    <cfRule type="containsText" dxfId="0" priority="1" operator="containsText" text="Ongoing">
      <formula>NOT(ISERROR(SEARCH("Ongoing",AJ6)))</formula>
    </cfRule>
  </conditionalFormatting>
  <hyperlinks>
    <hyperlink ref="E3" r:id="rId1" xr:uid="{FA29CB6B-A6F4-418D-A7E8-769BD5E5A6B4}"/>
  </hyperlinks>
  <printOptions horizontalCentered="1"/>
  <pageMargins left="0.70866141732283472" right="0.70866141732283472" top="1.3385826771653544" bottom="0.74803149606299213" header="0.31496062992125984" footer="0.31496062992125984"/>
  <pageSetup paperSize="8" scale="56" fitToHeight="0" orientation="landscape" horizontalDpi="4294967292" r:id="rId2"/>
  <headerFooter>
    <oddHeader>&amp;R&amp;28https://namkyodai.github.io&amp;L&amp;44 &amp;BCEBU 20 MLD DESALINATION WATER TREATMENT PLANT - RISK MANAGEMENT PLAN</oddHeader>
    <oddFooter>&amp;R&amp;28&amp;C&amp;28</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K194"/>
  <sheetViews>
    <sheetView tabSelected="1" view="pageBreakPreview" zoomScale="40" zoomScaleNormal="40" zoomScaleSheetLayoutView="40" zoomScalePageLayoutView="55" workbookViewId="0">
      <pane xSplit="10296" ySplit="1656" topLeftCell="F1" activePane="bottomRight"/>
      <selection activeCell="A3" sqref="A3"/>
      <selection pane="topRight" activeCell="Y3" sqref="Y3"/>
      <selection pane="bottomLeft" activeCell="E6" sqref="E6"/>
      <selection pane="bottomRight" activeCell="F7" sqref="F7"/>
    </sheetView>
  </sheetViews>
  <sheetFormatPr defaultColWidth="9.109375" defaultRowHeight="21" x14ac:dyDescent="0.3"/>
  <cols>
    <col min="1" max="1" width="9.109375" style="2"/>
    <col min="2" max="2" width="14" style="2" bestFit="1" customWidth="1"/>
    <col min="3" max="3" width="30.109375" style="2" customWidth="1"/>
    <col min="4" max="4" width="118.88671875" style="3" customWidth="1"/>
    <col min="5" max="5" width="66.44140625" style="3" customWidth="1"/>
    <col min="6" max="6" width="66.5546875" style="3" customWidth="1"/>
    <col min="7" max="8" width="9.109375" style="118"/>
    <col min="9" max="9" width="12.5546875" style="118" customWidth="1"/>
    <col min="10" max="10" width="12.44140625" style="118" customWidth="1"/>
    <col min="11" max="11" width="78.5546875" style="3" customWidth="1"/>
    <col min="12" max="13" width="9.109375" style="118"/>
    <col min="14" max="14" width="14.88671875" style="118" customWidth="1"/>
    <col min="15" max="15" width="12.5546875" style="118" customWidth="1"/>
    <col min="16" max="16" width="64.44140625" style="3" customWidth="1"/>
    <col min="17" max="17" width="31.44140625" style="2" hidden="1" customWidth="1"/>
    <col min="18" max="18" width="18.109375" style="2" hidden="1" customWidth="1"/>
    <col min="19" max="19" width="29.44140625" style="2" bestFit="1" customWidth="1"/>
    <col min="20" max="21" width="9.109375" style="118"/>
    <col min="22" max="22" width="13.44140625" style="118" customWidth="1"/>
    <col min="23" max="23" width="12" style="118" customWidth="1"/>
    <col min="24" max="24" width="35.44140625" style="2" customWidth="1"/>
    <col min="25" max="25" width="24.88671875" style="2" customWidth="1"/>
    <col min="26" max="26" width="38.44140625" style="2" customWidth="1"/>
    <col min="27" max="27" width="13.88671875" style="2" bestFit="1" customWidth="1"/>
    <col min="28" max="35" width="9.109375" style="2"/>
    <col min="36" max="36" width="25.109375" style="2" bestFit="1" customWidth="1"/>
    <col min="37" max="16384" width="9.109375" style="2"/>
  </cols>
  <sheetData>
    <row r="1" spans="1:37" s="52" customFormat="1" ht="43.5" customHeight="1" x14ac:dyDescent="0.3">
      <c r="A1" s="89" t="s">
        <v>64</v>
      </c>
      <c r="B1" s="90"/>
      <c r="C1" s="90"/>
      <c r="D1" s="91"/>
      <c r="E1" s="53"/>
      <c r="F1" s="53"/>
      <c r="G1" s="112"/>
      <c r="H1" s="112"/>
      <c r="I1" s="112"/>
      <c r="J1" s="112"/>
      <c r="K1" s="53"/>
      <c r="L1" s="112"/>
      <c r="M1" s="112"/>
      <c r="N1" s="112"/>
      <c r="O1" s="112"/>
      <c r="P1" s="53"/>
      <c r="T1" s="112"/>
      <c r="U1" s="112"/>
      <c r="V1" s="112"/>
      <c r="W1" s="112"/>
    </row>
    <row r="2" spans="1:37" s="54" customFormat="1" ht="59.25" customHeight="1" x14ac:dyDescent="0.3">
      <c r="A2" s="92" t="s">
        <v>68</v>
      </c>
      <c r="B2" s="93"/>
      <c r="C2" s="93"/>
      <c r="D2" s="94">
        <f ca="1">TODAY()</f>
        <v>45031</v>
      </c>
      <c r="E2" s="55"/>
      <c r="F2" s="55"/>
      <c r="G2" s="113"/>
      <c r="H2" s="113"/>
      <c r="I2" s="113"/>
      <c r="J2" s="113"/>
      <c r="K2" s="55"/>
      <c r="L2" s="113"/>
      <c r="M2" s="113"/>
      <c r="N2" s="113"/>
      <c r="O2" s="113"/>
      <c r="P2" s="55"/>
      <c r="Q2" s="52"/>
      <c r="R2" s="52"/>
      <c r="S2" s="52"/>
      <c r="T2" s="112"/>
      <c r="U2" s="112"/>
      <c r="V2" s="112"/>
      <c r="W2" s="112"/>
    </row>
    <row r="3" spans="1:37" s="52" customFormat="1" ht="45.75" customHeight="1" x14ac:dyDescent="0.3">
      <c r="A3" s="56"/>
      <c r="D3" s="53"/>
      <c r="E3" s="58" t="s">
        <v>67</v>
      </c>
      <c r="F3" s="53"/>
      <c r="G3" s="112"/>
      <c r="H3" s="112"/>
      <c r="I3" s="112"/>
      <c r="J3" s="112"/>
      <c r="K3" s="53"/>
      <c r="L3" s="112"/>
      <c r="M3" s="112"/>
      <c r="N3" s="112"/>
      <c r="O3" s="112"/>
      <c r="P3" s="53"/>
      <c r="T3" s="112"/>
      <c r="U3" s="112"/>
      <c r="V3" s="112"/>
      <c r="W3" s="112"/>
    </row>
    <row r="4" spans="1:37" s="6" customFormat="1" x14ac:dyDescent="0.3">
      <c r="A4" s="4" t="s">
        <v>26</v>
      </c>
      <c r="B4" s="4" t="s">
        <v>79</v>
      </c>
      <c r="C4" s="4" t="s">
        <v>27</v>
      </c>
      <c r="D4" s="5" t="s">
        <v>28</v>
      </c>
      <c r="E4" s="5" t="s">
        <v>29</v>
      </c>
      <c r="F4" s="5" t="s">
        <v>30</v>
      </c>
      <c r="G4" s="122" t="s">
        <v>31</v>
      </c>
      <c r="H4" s="122"/>
      <c r="I4" s="122"/>
      <c r="J4" s="122"/>
      <c r="K4" s="5" t="s">
        <v>34</v>
      </c>
      <c r="L4" s="122" t="s">
        <v>35</v>
      </c>
      <c r="M4" s="122"/>
      <c r="N4" s="122"/>
      <c r="O4" s="122"/>
      <c r="P4" s="5" t="s">
        <v>36</v>
      </c>
      <c r="Q4" s="4" t="s">
        <v>38</v>
      </c>
      <c r="R4" s="4" t="s">
        <v>53</v>
      </c>
      <c r="S4" s="4" t="s">
        <v>39</v>
      </c>
      <c r="T4" s="122" t="s">
        <v>37</v>
      </c>
      <c r="U4" s="122"/>
      <c r="V4" s="122"/>
      <c r="W4" s="122"/>
      <c r="X4" s="99" t="s">
        <v>73</v>
      </c>
      <c r="Y4" s="99"/>
      <c r="Z4" s="99"/>
    </row>
    <row r="5" spans="1:37" s="6" customFormat="1" x14ac:dyDescent="0.3">
      <c r="A5" s="7"/>
      <c r="B5" s="7"/>
      <c r="C5" s="7"/>
      <c r="D5" s="8"/>
      <c r="E5" s="8"/>
      <c r="F5" s="8"/>
      <c r="G5" s="114" t="s">
        <v>32</v>
      </c>
      <c r="H5" s="114" t="s">
        <v>33</v>
      </c>
      <c r="I5" s="114" t="s">
        <v>70</v>
      </c>
      <c r="J5" s="114" t="s">
        <v>154</v>
      </c>
      <c r="K5" s="8"/>
      <c r="L5" s="122" t="s">
        <v>32</v>
      </c>
      <c r="M5" s="122" t="s">
        <v>33</v>
      </c>
      <c r="N5" s="122" t="s">
        <v>70</v>
      </c>
      <c r="O5" s="122" t="s">
        <v>154</v>
      </c>
      <c r="P5" s="8"/>
      <c r="Q5" s="7"/>
      <c r="R5" s="7" t="s">
        <v>57</v>
      </c>
      <c r="S5" s="7"/>
      <c r="T5" s="114" t="s">
        <v>32</v>
      </c>
      <c r="U5" s="114" t="s">
        <v>33</v>
      </c>
      <c r="V5" s="114" t="s">
        <v>70</v>
      </c>
      <c r="W5" s="114" t="s">
        <v>154</v>
      </c>
      <c r="X5" s="100" t="s">
        <v>74</v>
      </c>
      <c r="Y5" s="100" t="s">
        <v>75</v>
      </c>
      <c r="Z5" s="100" t="s">
        <v>58</v>
      </c>
    </row>
    <row r="6" spans="1:37" ht="165" customHeight="1" x14ac:dyDescent="0.3">
      <c r="A6" s="9">
        <v>1</v>
      </c>
      <c r="B6" s="9" t="s">
        <v>77</v>
      </c>
      <c r="C6" s="9" t="s">
        <v>49</v>
      </c>
      <c r="D6" s="1" t="s">
        <v>84</v>
      </c>
      <c r="E6" s="1" t="s">
        <v>85</v>
      </c>
      <c r="F6" s="1" t="s">
        <v>86</v>
      </c>
      <c r="G6" s="110">
        <v>4</v>
      </c>
      <c r="H6" s="111">
        <v>5</v>
      </c>
      <c r="I6" s="117">
        <v>24</v>
      </c>
      <c r="J6" s="117">
        <f>H6*G6</f>
        <v>20</v>
      </c>
      <c r="K6" s="13" t="s">
        <v>87</v>
      </c>
      <c r="L6" s="110">
        <v>3</v>
      </c>
      <c r="M6" s="110">
        <v>3</v>
      </c>
      <c r="N6" s="115">
        <v>12</v>
      </c>
      <c r="O6" s="115">
        <f>M6*L6</f>
        <v>9</v>
      </c>
      <c r="P6" s="1" t="s">
        <v>91</v>
      </c>
      <c r="Q6" s="10" t="s">
        <v>170</v>
      </c>
      <c r="R6" s="11"/>
      <c r="S6" s="11" t="s">
        <v>35</v>
      </c>
      <c r="T6" s="110">
        <v>3</v>
      </c>
      <c r="U6" s="110">
        <v>3</v>
      </c>
      <c r="V6" s="119">
        <v>12</v>
      </c>
      <c r="W6" s="119">
        <f>U6*T6</f>
        <v>9</v>
      </c>
      <c r="X6" s="102">
        <f>1148000000*0.6</f>
        <v>688800000</v>
      </c>
      <c r="Y6" s="101">
        <f>IF(U6=5,1,IF(U6=4,0.8,IF(U6=3,0.6,IF(U6=2,0.4,IF(U6=1,0.2,0)))))</f>
        <v>0.6</v>
      </c>
      <c r="Z6" s="102">
        <f>Y6*X6</f>
        <v>413280000</v>
      </c>
      <c r="AA6" s="2" t="s">
        <v>180</v>
      </c>
    </row>
    <row r="7" spans="1:37" ht="130.5" customHeight="1" x14ac:dyDescent="0.3">
      <c r="A7" s="9">
        <v>2</v>
      </c>
      <c r="B7" s="9" t="s">
        <v>77</v>
      </c>
      <c r="C7" s="9" t="s">
        <v>49</v>
      </c>
      <c r="D7" s="1" t="s">
        <v>88</v>
      </c>
      <c r="E7" s="1" t="s">
        <v>89</v>
      </c>
      <c r="F7" s="1" t="s">
        <v>90</v>
      </c>
      <c r="G7" s="110">
        <v>2</v>
      </c>
      <c r="H7" s="111">
        <v>3</v>
      </c>
      <c r="I7" s="115">
        <v>11</v>
      </c>
      <c r="J7" s="116">
        <f>H7*G7</f>
        <v>6</v>
      </c>
      <c r="K7" s="13" t="s">
        <v>92</v>
      </c>
      <c r="L7" s="110">
        <v>2</v>
      </c>
      <c r="M7" s="110">
        <v>2</v>
      </c>
      <c r="N7" s="116">
        <v>5</v>
      </c>
      <c r="O7" s="116">
        <f t="shared" ref="O7:O26" si="0">M7*L7</f>
        <v>4</v>
      </c>
      <c r="P7" s="1" t="s">
        <v>93</v>
      </c>
      <c r="Q7" s="10" t="s">
        <v>170</v>
      </c>
      <c r="R7" s="11"/>
      <c r="S7" s="11" t="s">
        <v>35</v>
      </c>
      <c r="T7" s="110">
        <v>2</v>
      </c>
      <c r="U7" s="110">
        <v>2</v>
      </c>
      <c r="V7" s="120">
        <v>5</v>
      </c>
      <c r="W7" s="120">
        <f t="shared" ref="W7:W26" si="1">U7*T7</f>
        <v>4</v>
      </c>
      <c r="X7" s="102">
        <f>1148000000*0.2</f>
        <v>229600000</v>
      </c>
      <c r="Y7" s="101">
        <f t="shared" ref="Y7:Y28" si="2">IF(U7=5,1,IF(U7=4,0.8,IF(U7=3,0.6,IF(U7=2,0.4,IF(U7=1,0.2,0)))))</f>
        <v>0.4</v>
      </c>
      <c r="Z7" s="102">
        <f>Y7*X7</f>
        <v>91840000</v>
      </c>
      <c r="AA7" s="2" t="s">
        <v>172</v>
      </c>
    </row>
    <row r="8" spans="1:37" ht="135" customHeight="1" x14ac:dyDescent="0.3">
      <c r="A8" s="9">
        <v>3</v>
      </c>
      <c r="B8" s="9" t="s">
        <v>77</v>
      </c>
      <c r="C8" s="9" t="s">
        <v>49</v>
      </c>
      <c r="D8" s="1" t="s">
        <v>94</v>
      </c>
      <c r="E8" s="1" t="s">
        <v>95</v>
      </c>
      <c r="F8" s="1" t="s">
        <v>96</v>
      </c>
      <c r="G8" s="110">
        <v>3</v>
      </c>
      <c r="H8" s="111">
        <v>4</v>
      </c>
      <c r="I8" s="117">
        <v>17</v>
      </c>
      <c r="J8" s="115">
        <f t="shared" ref="J8:J26" si="3">H8*G8</f>
        <v>12</v>
      </c>
      <c r="K8" s="1" t="s">
        <v>97</v>
      </c>
      <c r="L8" s="110">
        <v>2</v>
      </c>
      <c r="M8" s="110">
        <v>2</v>
      </c>
      <c r="N8" s="116">
        <v>5</v>
      </c>
      <c r="O8" s="116">
        <f t="shared" si="0"/>
        <v>4</v>
      </c>
      <c r="P8" s="1" t="s">
        <v>91</v>
      </c>
      <c r="Q8" s="10" t="s">
        <v>77</v>
      </c>
      <c r="R8" s="11"/>
      <c r="S8" s="11" t="s">
        <v>35</v>
      </c>
      <c r="T8" s="110">
        <v>2</v>
      </c>
      <c r="U8" s="110">
        <v>2</v>
      </c>
      <c r="V8" s="120">
        <v>5</v>
      </c>
      <c r="W8" s="120">
        <f t="shared" si="1"/>
        <v>4</v>
      </c>
      <c r="X8" s="102">
        <f>3*5000000</f>
        <v>15000000</v>
      </c>
      <c r="Y8" s="101">
        <f t="shared" si="2"/>
        <v>0.4</v>
      </c>
      <c r="Z8" s="102">
        <f t="shared" ref="Z8:Z26" si="4">Y8*X8</f>
        <v>6000000</v>
      </c>
      <c r="AA8" s="2" t="s">
        <v>173</v>
      </c>
    </row>
    <row r="9" spans="1:37" ht="94.5" customHeight="1" x14ac:dyDescent="0.3">
      <c r="A9" s="9">
        <v>4</v>
      </c>
      <c r="B9" s="9" t="s">
        <v>77</v>
      </c>
      <c r="C9" s="9" t="s">
        <v>49</v>
      </c>
      <c r="D9" s="1" t="s">
        <v>81</v>
      </c>
      <c r="E9" s="1" t="s">
        <v>108</v>
      </c>
      <c r="F9" s="1" t="s">
        <v>109</v>
      </c>
      <c r="G9" s="110">
        <v>2</v>
      </c>
      <c r="H9" s="111">
        <v>3</v>
      </c>
      <c r="I9" s="115">
        <v>11</v>
      </c>
      <c r="J9" s="116">
        <f t="shared" si="3"/>
        <v>6</v>
      </c>
      <c r="K9" s="1" t="s">
        <v>141</v>
      </c>
      <c r="L9" s="110">
        <v>2</v>
      </c>
      <c r="M9" s="110">
        <v>2</v>
      </c>
      <c r="N9" s="116">
        <v>5</v>
      </c>
      <c r="O9" s="116">
        <f t="shared" si="0"/>
        <v>4</v>
      </c>
      <c r="P9" s="1" t="s">
        <v>91</v>
      </c>
      <c r="Q9" s="10" t="s">
        <v>70</v>
      </c>
      <c r="R9" s="12"/>
      <c r="S9" s="11" t="s">
        <v>35</v>
      </c>
      <c r="T9" s="110">
        <v>2</v>
      </c>
      <c r="U9" s="110">
        <v>2</v>
      </c>
      <c r="V9" s="120">
        <v>5</v>
      </c>
      <c r="W9" s="120">
        <f t="shared" si="1"/>
        <v>4</v>
      </c>
      <c r="X9" s="102">
        <v>0</v>
      </c>
      <c r="Y9" s="101">
        <f t="shared" si="2"/>
        <v>0.4</v>
      </c>
      <c r="Z9" s="102">
        <f t="shared" si="4"/>
        <v>0</v>
      </c>
      <c r="AA9" s="2" t="s">
        <v>174</v>
      </c>
    </row>
    <row r="10" spans="1:37" ht="107.25" customHeight="1" x14ac:dyDescent="0.3">
      <c r="A10" s="9">
        <v>5</v>
      </c>
      <c r="B10" s="9" t="s">
        <v>77</v>
      </c>
      <c r="C10" s="9" t="s">
        <v>49</v>
      </c>
      <c r="D10" s="1" t="s">
        <v>82</v>
      </c>
      <c r="E10" s="1" t="s">
        <v>110</v>
      </c>
      <c r="F10" s="1" t="s">
        <v>111</v>
      </c>
      <c r="G10" s="110">
        <v>2</v>
      </c>
      <c r="H10" s="110">
        <v>4</v>
      </c>
      <c r="I10" s="115">
        <v>15</v>
      </c>
      <c r="J10" s="115">
        <f t="shared" si="3"/>
        <v>8</v>
      </c>
      <c r="K10" s="13" t="s">
        <v>142</v>
      </c>
      <c r="L10" s="110">
        <v>2</v>
      </c>
      <c r="M10" s="110">
        <v>3</v>
      </c>
      <c r="N10" s="115">
        <v>11</v>
      </c>
      <c r="O10" s="116">
        <f t="shared" si="0"/>
        <v>6</v>
      </c>
      <c r="P10" s="13" t="s">
        <v>91</v>
      </c>
      <c r="Q10" s="10" t="s">
        <v>170</v>
      </c>
      <c r="R10" s="11"/>
      <c r="S10" s="11" t="s">
        <v>35</v>
      </c>
      <c r="T10" s="110">
        <v>2</v>
      </c>
      <c r="U10" s="110">
        <v>3</v>
      </c>
      <c r="V10" s="119">
        <v>11</v>
      </c>
      <c r="W10" s="120">
        <f t="shared" si="1"/>
        <v>6</v>
      </c>
      <c r="X10" s="102">
        <f>1148000000*0.3</f>
        <v>344400000</v>
      </c>
      <c r="Y10" s="101">
        <f t="shared" si="2"/>
        <v>0.6</v>
      </c>
      <c r="Z10" s="102">
        <f t="shared" si="4"/>
        <v>206640000</v>
      </c>
      <c r="AA10" s="2" t="s">
        <v>176</v>
      </c>
      <c r="AJ10" s="126">
        <f>1148000000*(1%/10)</f>
        <v>1148000</v>
      </c>
      <c r="AK10" s="2" t="s">
        <v>175</v>
      </c>
    </row>
    <row r="11" spans="1:37" ht="81.75" customHeight="1" x14ac:dyDescent="0.3">
      <c r="A11" s="9">
        <v>6</v>
      </c>
      <c r="B11" s="9" t="s">
        <v>77</v>
      </c>
      <c r="C11" s="9" t="s">
        <v>49</v>
      </c>
      <c r="D11" s="1" t="s">
        <v>83</v>
      </c>
      <c r="E11" s="1" t="s">
        <v>112</v>
      </c>
      <c r="F11" s="1" t="s">
        <v>113</v>
      </c>
      <c r="G11" s="110">
        <v>4</v>
      </c>
      <c r="H11" s="111">
        <v>5</v>
      </c>
      <c r="I11" s="117">
        <v>24</v>
      </c>
      <c r="J11" s="117">
        <f t="shared" si="3"/>
        <v>20</v>
      </c>
      <c r="K11" s="13" t="s">
        <v>143</v>
      </c>
      <c r="L11" s="110">
        <v>3</v>
      </c>
      <c r="M11" s="110">
        <v>3</v>
      </c>
      <c r="N11" s="115">
        <v>12</v>
      </c>
      <c r="O11" s="115">
        <f t="shared" si="0"/>
        <v>9</v>
      </c>
      <c r="P11" s="13" t="s">
        <v>91</v>
      </c>
      <c r="Q11" s="11" t="s">
        <v>77</v>
      </c>
      <c r="R11" s="12"/>
      <c r="S11" s="11" t="s">
        <v>35</v>
      </c>
      <c r="T11" s="110">
        <v>3</v>
      </c>
      <c r="U11" s="110">
        <v>3</v>
      </c>
      <c r="V11" s="119">
        <v>12</v>
      </c>
      <c r="W11" s="119">
        <f t="shared" si="1"/>
        <v>9</v>
      </c>
      <c r="X11" s="102">
        <f>1148000000*0.3</f>
        <v>344400000</v>
      </c>
      <c r="Y11" s="101">
        <f t="shared" si="2"/>
        <v>0.6</v>
      </c>
      <c r="Z11" s="102">
        <f t="shared" si="4"/>
        <v>206640000</v>
      </c>
      <c r="AA11" s="2" t="s">
        <v>177</v>
      </c>
      <c r="AJ11" s="126"/>
    </row>
    <row r="12" spans="1:37" ht="109.5" customHeight="1" x14ac:dyDescent="0.3">
      <c r="A12" s="9">
        <v>7</v>
      </c>
      <c r="B12" s="9" t="s">
        <v>77</v>
      </c>
      <c r="C12" s="9" t="s">
        <v>49</v>
      </c>
      <c r="D12" s="1" t="s">
        <v>98</v>
      </c>
      <c r="E12" s="105" t="s">
        <v>114</v>
      </c>
      <c r="F12" s="1" t="s">
        <v>115</v>
      </c>
      <c r="G12" s="110">
        <v>3</v>
      </c>
      <c r="H12" s="110">
        <v>4</v>
      </c>
      <c r="I12" s="117">
        <v>17</v>
      </c>
      <c r="J12" s="115">
        <f t="shared" si="3"/>
        <v>12</v>
      </c>
      <c r="K12" s="13" t="s">
        <v>144</v>
      </c>
      <c r="L12" s="110">
        <v>2</v>
      </c>
      <c r="M12" s="110">
        <v>3</v>
      </c>
      <c r="N12" s="115">
        <v>11</v>
      </c>
      <c r="O12" s="116">
        <f t="shared" si="0"/>
        <v>6</v>
      </c>
      <c r="P12" s="104" t="s">
        <v>91</v>
      </c>
      <c r="Q12" s="10" t="s">
        <v>77</v>
      </c>
      <c r="R12" s="11"/>
      <c r="S12" s="11" t="s">
        <v>35</v>
      </c>
      <c r="T12" s="110">
        <v>2</v>
      </c>
      <c r="U12" s="110">
        <v>3</v>
      </c>
      <c r="V12" s="119">
        <v>11</v>
      </c>
      <c r="W12" s="120">
        <f t="shared" si="1"/>
        <v>6</v>
      </c>
      <c r="X12" s="102">
        <v>100000000</v>
      </c>
      <c r="Y12" s="101">
        <f t="shared" si="2"/>
        <v>0.6</v>
      </c>
      <c r="Z12" s="102">
        <f t="shared" si="4"/>
        <v>60000000</v>
      </c>
      <c r="AA12" s="2" t="s">
        <v>178</v>
      </c>
    </row>
    <row r="13" spans="1:37" ht="112.5" customHeight="1" x14ac:dyDescent="0.3">
      <c r="A13" s="9">
        <v>8</v>
      </c>
      <c r="B13" s="9" t="s">
        <v>77</v>
      </c>
      <c r="C13" s="9" t="s">
        <v>49</v>
      </c>
      <c r="D13" s="1" t="s">
        <v>99</v>
      </c>
      <c r="E13" s="1" t="s">
        <v>116</v>
      </c>
      <c r="F13" s="1" t="s">
        <v>117</v>
      </c>
      <c r="G13" s="110">
        <v>2</v>
      </c>
      <c r="H13" s="111">
        <v>4</v>
      </c>
      <c r="I13" s="115">
        <v>15</v>
      </c>
      <c r="J13" s="115">
        <f t="shared" si="3"/>
        <v>8</v>
      </c>
      <c r="K13" s="1" t="s">
        <v>145</v>
      </c>
      <c r="L13" s="110">
        <v>2</v>
      </c>
      <c r="M13" s="110">
        <v>3</v>
      </c>
      <c r="N13" s="115">
        <v>11</v>
      </c>
      <c r="O13" s="116">
        <f t="shared" si="0"/>
        <v>6</v>
      </c>
      <c r="P13" s="105" t="s">
        <v>91</v>
      </c>
      <c r="Q13" s="11" t="s">
        <v>170</v>
      </c>
      <c r="R13" s="12"/>
      <c r="S13" s="11" t="s">
        <v>35</v>
      </c>
      <c r="T13" s="110">
        <v>2</v>
      </c>
      <c r="U13" s="110">
        <v>3</v>
      </c>
      <c r="V13" s="119">
        <v>11</v>
      </c>
      <c r="W13" s="120">
        <f t="shared" si="1"/>
        <v>6</v>
      </c>
      <c r="X13" s="102">
        <v>10000000</v>
      </c>
      <c r="Y13" s="101">
        <f t="shared" si="2"/>
        <v>0.6</v>
      </c>
      <c r="Z13" s="102">
        <f t="shared" si="4"/>
        <v>6000000</v>
      </c>
      <c r="AA13" s="2" t="s">
        <v>179</v>
      </c>
    </row>
    <row r="14" spans="1:37" ht="74.25" customHeight="1" x14ac:dyDescent="0.3">
      <c r="A14" s="9">
        <v>9</v>
      </c>
      <c r="B14" s="9" t="s">
        <v>77</v>
      </c>
      <c r="C14" s="9" t="s">
        <v>49</v>
      </c>
      <c r="D14" s="1" t="s">
        <v>118</v>
      </c>
      <c r="E14" s="1" t="s">
        <v>119</v>
      </c>
      <c r="F14" s="1" t="s">
        <v>120</v>
      </c>
      <c r="G14" s="110">
        <v>2</v>
      </c>
      <c r="H14" s="111">
        <v>4</v>
      </c>
      <c r="I14" s="115">
        <v>15</v>
      </c>
      <c r="J14" s="115">
        <f t="shared" si="3"/>
        <v>8</v>
      </c>
      <c r="K14" s="1" t="s">
        <v>146</v>
      </c>
      <c r="L14" s="110">
        <v>2</v>
      </c>
      <c r="M14" s="110">
        <v>3</v>
      </c>
      <c r="N14" s="115">
        <v>11</v>
      </c>
      <c r="O14" s="116">
        <f t="shared" si="0"/>
        <v>6</v>
      </c>
      <c r="P14" s="1" t="s">
        <v>91</v>
      </c>
      <c r="Q14" s="11" t="s">
        <v>77</v>
      </c>
      <c r="R14" s="11"/>
      <c r="S14" s="11" t="s">
        <v>35</v>
      </c>
      <c r="T14" s="110">
        <v>2</v>
      </c>
      <c r="U14" s="110">
        <v>3</v>
      </c>
      <c r="V14" s="119">
        <v>11</v>
      </c>
      <c r="W14" s="120">
        <f t="shared" si="1"/>
        <v>6</v>
      </c>
      <c r="X14" s="102">
        <v>0</v>
      </c>
      <c r="Y14" s="101">
        <f t="shared" si="2"/>
        <v>0.6</v>
      </c>
      <c r="Z14" s="102">
        <f t="shared" si="4"/>
        <v>0</v>
      </c>
      <c r="AA14" s="2" t="s">
        <v>181</v>
      </c>
    </row>
    <row r="15" spans="1:37" ht="89.25" customHeight="1" x14ac:dyDescent="0.3">
      <c r="A15" s="9">
        <v>10</v>
      </c>
      <c r="B15" s="9" t="s">
        <v>77</v>
      </c>
      <c r="C15" s="9" t="s">
        <v>49</v>
      </c>
      <c r="D15" s="1" t="s">
        <v>121</v>
      </c>
      <c r="E15" s="1" t="s">
        <v>119</v>
      </c>
      <c r="F15" s="1" t="s">
        <v>122</v>
      </c>
      <c r="G15" s="110">
        <v>2</v>
      </c>
      <c r="H15" s="111">
        <v>4</v>
      </c>
      <c r="I15" s="115">
        <v>15</v>
      </c>
      <c r="J15" s="115">
        <f t="shared" si="3"/>
        <v>8</v>
      </c>
      <c r="K15" s="1" t="s">
        <v>146</v>
      </c>
      <c r="L15" s="110">
        <v>2</v>
      </c>
      <c r="M15" s="110">
        <v>3</v>
      </c>
      <c r="N15" s="115">
        <v>11</v>
      </c>
      <c r="O15" s="116">
        <f t="shared" si="0"/>
        <v>6</v>
      </c>
      <c r="P15" s="1" t="s">
        <v>153</v>
      </c>
      <c r="Q15" s="11" t="s">
        <v>77</v>
      </c>
      <c r="R15" s="11"/>
      <c r="S15" s="11" t="s">
        <v>35</v>
      </c>
      <c r="T15" s="110">
        <v>2</v>
      </c>
      <c r="U15" s="110">
        <v>3</v>
      </c>
      <c r="V15" s="119">
        <v>11</v>
      </c>
      <c r="W15" s="120">
        <f t="shared" si="1"/>
        <v>6</v>
      </c>
      <c r="X15" s="102">
        <v>0</v>
      </c>
      <c r="Y15" s="101">
        <f t="shared" si="2"/>
        <v>0.6</v>
      </c>
      <c r="Z15" s="102">
        <f t="shared" si="4"/>
        <v>0</v>
      </c>
      <c r="AA15" s="2" t="s">
        <v>181</v>
      </c>
    </row>
    <row r="16" spans="1:37" ht="151.5" customHeight="1" x14ac:dyDescent="0.3">
      <c r="A16" s="9">
        <v>11</v>
      </c>
      <c r="B16" s="9" t="s">
        <v>70</v>
      </c>
      <c r="C16" s="9" t="s">
        <v>71</v>
      </c>
      <c r="D16" s="1" t="s">
        <v>100</v>
      </c>
      <c r="E16" s="1" t="s">
        <v>123</v>
      </c>
      <c r="F16" s="1" t="s">
        <v>124</v>
      </c>
      <c r="G16" s="110">
        <v>2</v>
      </c>
      <c r="H16" s="111">
        <v>5</v>
      </c>
      <c r="I16" s="117">
        <v>19</v>
      </c>
      <c r="J16" s="116">
        <f t="shared" si="3"/>
        <v>10</v>
      </c>
      <c r="K16" s="1" t="s">
        <v>147</v>
      </c>
      <c r="L16" s="110">
        <v>2</v>
      </c>
      <c r="M16" s="110">
        <v>4</v>
      </c>
      <c r="N16" s="115">
        <v>15</v>
      </c>
      <c r="O16" s="115">
        <f t="shared" si="0"/>
        <v>8</v>
      </c>
      <c r="P16" s="105" t="s">
        <v>91</v>
      </c>
      <c r="Q16" s="11" t="s">
        <v>70</v>
      </c>
      <c r="R16" s="11"/>
      <c r="S16" s="11" t="s">
        <v>35</v>
      </c>
      <c r="T16" s="110">
        <v>2</v>
      </c>
      <c r="U16" s="110">
        <v>4</v>
      </c>
      <c r="V16" s="119">
        <v>15</v>
      </c>
      <c r="W16" s="119">
        <f t="shared" si="1"/>
        <v>8</v>
      </c>
      <c r="X16" s="127">
        <v>100000000</v>
      </c>
      <c r="Y16" s="101">
        <f t="shared" si="2"/>
        <v>0.8</v>
      </c>
      <c r="Z16" s="102">
        <f t="shared" si="4"/>
        <v>80000000</v>
      </c>
      <c r="AA16" s="2" t="s">
        <v>183</v>
      </c>
    </row>
    <row r="17" spans="1:27" ht="224.4" x14ac:dyDescent="0.3">
      <c r="A17" s="9">
        <v>12</v>
      </c>
      <c r="B17" s="9" t="s">
        <v>70</v>
      </c>
      <c r="C17" s="9" t="s">
        <v>71</v>
      </c>
      <c r="D17" s="1" t="s">
        <v>101</v>
      </c>
      <c r="E17" s="1" t="s">
        <v>125</v>
      </c>
      <c r="F17" s="1" t="s">
        <v>126</v>
      </c>
      <c r="G17" s="110">
        <v>3</v>
      </c>
      <c r="H17" s="110">
        <v>5</v>
      </c>
      <c r="I17" s="117">
        <v>23</v>
      </c>
      <c r="J17" s="115">
        <f t="shared" si="3"/>
        <v>15</v>
      </c>
      <c r="K17" s="1" t="s">
        <v>148</v>
      </c>
      <c r="L17" s="110">
        <v>3</v>
      </c>
      <c r="M17" s="110">
        <v>5</v>
      </c>
      <c r="N17" s="117">
        <v>23</v>
      </c>
      <c r="O17" s="115">
        <f t="shared" si="0"/>
        <v>15</v>
      </c>
      <c r="P17" s="1" t="s">
        <v>91</v>
      </c>
      <c r="Q17" s="10" t="s">
        <v>70</v>
      </c>
      <c r="R17" s="11"/>
      <c r="S17" s="11" t="s">
        <v>35</v>
      </c>
      <c r="T17" s="110">
        <v>3</v>
      </c>
      <c r="U17" s="110">
        <v>5</v>
      </c>
      <c r="V17" s="121">
        <v>23</v>
      </c>
      <c r="W17" s="119">
        <f t="shared" si="1"/>
        <v>15</v>
      </c>
      <c r="X17" s="127">
        <v>0</v>
      </c>
      <c r="Y17" s="101">
        <f>IF(U17=5,1,IF(U17=4,0.8,IF(U17=3,0.6,IF(U17=2,0.4,IF(U17=1,0.2,0)))))</f>
        <v>1</v>
      </c>
      <c r="Z17" s="102">
        <f t="shared" si="4"/>
        <v>0</v>
      </c>
      <c r="AA17" s="2" t="s">
        <v>182</v>
      </c>
    </row>
    <row r="18" spans="1:27" ht="81.599999999999994" x14ac:dyDescent="0.3">
      <c r="A18" s="9">
        <v>13</v>
      </c>
      <c r="B18" s="9" t="s">
        <v>70</v>
      </c>
      <c r="C18" s="9" t="s">
        <v>71</v>
      </c>
      <c r="D18" s="1" t="s">
        <v>102</v>
      </c>
      <c r="E18" s="1" t="s">
        <v>127</v>
      </c>
      <c r="F18" s="1" t="s">
        <v>128</v>
      </c>
      <c r="G18" s="110">
        <v>3</v>
      </c>
      <c r="H18" s="110">
        <v>5</v>
      </c>
      <c r="I18" s="117">
        <v>23</v>
      </c>
      <c r="J18" s="115">
        <f t="shared" si="3"/>
        <v>15</v>
      </c>
      <c r="K18" s="1" t="s">
        <v>149</v>
      </c>
      <c r="L18" s="110">
        <v>2</v>
      </c>
      <c r="M18" s="110">
        <v>4</v>
      </c>
      <c r="N18" s="115">
        <v>15</v>
      </c>
      <c r="O18" s="115">
        <f t="shared" si="0"/>
        <v>8</v>
      </c>
      <c r="P18" s="1" t="s">
        <v>91</v>
      </c>
      <c r="Q18" s="10" t="s">
        <v>70</v>
      </c>
      <c r="R18" s="11"/>
      <c r="S18" s="11" t="s">
        <v>35</v>
      </c>
      <c r="T18" s="110">
        <v>2</v>
      </c>
      <c r="U18" s="110">
        <v>4</v>
      </c>
      <c r="V18" s="119">
        <v>15</v>
      </c>
      <c r="W18" s="119">
        <f t="shared" si="1"/>
        <v>8</v>
      </c>
      <c r="X18" s="102">
        <f>100000*12*25</f>
        <v>30000000</v>
      </c>
      <c r="Y18" s="101">
        <f t="shared" si="2"/>
        <v>0.8</v>
      </c>
      <c r="Z18" s="102">
        <f t="shared" si="4"/>
        <v>24000000</v>
      </c>
      <c r="AA18" s="2" t="s">
        <v>184</v>
      </c>
    </row>
    <row r="19" spans="1:27" ht="81.599999999999994" x14ac:dyDescent="0.3">
      <c r="A19" s="9">
        <v>14</v>
      </c>
      <c r="B19" s="9" t="s">
        <v>70</v>
      </c>
      <c r="C19" s="9" t="s">
        <v>71</v>
      </c>
      <c r="D19" s="1" t="s">
        <v>103</v>
      </c>
      <c r="E19" s="1" t="s">
        <v>129</v>
      </c>
      <c r="F19" s="1" t="s">
        <v>130</v>
      </c>
      <c r="G19" s="110">
        <v>3</v>
      </c>
      <c r="H19" s="110">
        <v>5</v>
      </c>
      <c r="I19" s="117">
        <v>23</v>
      </c>
      <c r="J19" s="115">
        <f t="shared" si="3"/>
        <v>15</v>
      </c>
      <c r="K19" s="13" t="s">
        <v>149</v>
      </c>
      <c r="L19" s="110">
        <v>2</v>
      </c>
      <c r="M19" s="110">
        <v>4</v>
      </c>
      <c r="N19" s="115">
        <v>15</v>
      </c>
      <c r="O19" s="115">
        <f t="shared" si="0"/>
        <v>8</v>
      </c>
      <c r="P19" s="13" t="s">
        <v>91</v>
      </c>
      <c r="Q19" s="10" t="s">
        <v>70</v>
      </c>
      <c r="R19" s="11"/>
      <c r="S19" s="11" t="s">
        <v>35</v>
      </c>
      <c r="T19" s="110">
        <v>2</v>
      </c>
      <c r="U19" s="110">
        <v>4</v>
      </c>
      <c r="V19" s="119">
        <v>15</v>
      </c>
      <c r="W19" s="119">
        <f t="shared" si="1"/>
        <v>8</v>
      </c>
      <c r="X19" s="102">
        <f>100000*750</f>
        <v>75000000</v>
      </c>
      <c r="Y19" s="101">
        <f t="shared" si="2"/>
        <v>0.8</v>
      </c>
      <c r="Z19" s="102">
        <f t="shared" si="4"/>
        <v>60000000</v>
      </c>
      <c r="AA19" s="2" t="s">
        <v>185</v>
      </c>
    </row>
    <row r="20" spans="1:27" ht="81.599999999999994" x14ac:dyDescent="0.3">
      <c r="A20" s="9">
        <v>15</v>
      </c>
      <c r="B20" s="9" t="s">
        <v>70</v>
      </c>
      <c r="C20" s="9" t="s">
        <v>71</v>
      </c>
      <c r="D20" s="1" t="s">
        <v>104</v>
      </c>
      <c r="E20" s="1" t="s">
        <v>131</v>
      </c>
      <c r="F20" s="1" t="s">
        <v>132</v>
      </c>
      <c r="G20" s="110">
        <v>3</v>
      </c>
      <c r="H20" s="110">
        <v>5</v>
      </c>
      <c r="I20" s="117">
        <v>23</v>
      </c>
      <c r="J20" s="115">
        <f t="shared" si="3"/>
        <v>15</v>
      </c>
      <c r="K20" s="1" t="s">
        <v>150</v>
      </c>
      <c r="L20" s="110">
        <v>2</v>
      </c>
      <c r="M20" s="110">
        <v>4</v>
      </c>
      <c r="N20" s="115">
        <v>15</v>
      </c>
      <c r="O20" s="115">
        <f t="shared" si="0"/>
        <v>8</v>
      </c>
      <c r="P20" s="1" t="s">
        <v>91</v>
      </c>
      <c r="Q20" s="10" t="s">
        <v>70</v>
      </c>
      <c r="R20" s="12"/>
      <c r="S20" s="11" t="s">
        <v>35</v>
      </c>
      <c r="T20" s="110">
        <v>2</v>
      </c>
      <c r="U20" s="110">
        <v>4</v>
      </c>
      <c r="V20" s="119">
        <v>15</v>
      </c>
      <c r="W20" s="119">
        <f t="shared" si="1"/>
        <v>8</v>
      </c>
      <c r="X20" s="102">
        <v>100000000</v>
      </c>
      <c r="Y20" s="101">
        <f t="shared" si="2"/>
        <v>0.8</v>
      </c>
      <c r="Z20" s="102">
        <f t="shared" si="4"/>
        <v>80000000</v>
      </c>
      <c r="AA20" s="2" t="s">
        <v>186</v>
      </c>
    </row>
    <row r="21" spans="1:27" ht="81.599999999999994" x14ac:dyDescent="0.3">
      <c r="A21" s="9">
        <v>16</v>
      </c>
      <c r="B21" s="9" t="s">
        <v>70</v>
      </c>
      <c r="C21" s="9" t="s">
        <v>71</v>
      </c>
      <c r="D21" s="1" t="s">
        <v>105</v>
      </c>
      <c r="E21" s="1" t="s">
        <v>133</v>
      </c>
      <c r="F21" s="1" t="s">
        <v>132</v>
      </c>
      <c r="G21" s="110">
        <v>3</v>
      </c>
      <c r="H21" s="110">
        <v>5</v>
      </c>
      <c r="I21" s="117">
        <v>23</v>
      </c>
      <c r="J21" s="115">
        <f t="shared" si="3"/>
        <v>15</v>
      </c>
      <c r="K21" s="104" t="s">
        <v>150</v>
      </c>
      <c r="L21" s="110">
        <v>2</v>
      </c>
      <c r="M21" s="110">
        <v>4</v>
      </c>
      <c r="N21" s="115">
        <v>15</v>
      </c>
      <c r="O21" s="115">
        <f t="shared" si="0"/>
        <v>8</v>
      </c>
      <c r="P21" s="1" t="s">
        <v>91</v>
      </c>
      <c r="Q21" s="11" t="s">
        <v>70</v>
      </c>
      <c r="R21" s="11"/>
      <c r="S21" s="11" t="s">
        <v>35</v>
      </c>
      <c r="T21" s="110">
        <v>2</v>
      </c>
      <c r="U21" s="110">
        <v>4</v>
      </c>
      <c r="V21" s="119">
        <v>15</v>
      </c>
      <c r="W21" s="119">
        <f t="shared" si="1"/>
        <v>8</v>
      </c>
      <c r="X21" s="102">
        <v>100000000</v>
      </c>
      <c r="Y21" s="101">
        <f t="shared" si="2"/>
        <v>0.8</v>
      </c>
      <c r="Z21" s="102">
        <f t="shared" si="4"/>
        <v>80000000</v>
      </c>
      <c r="AA21" s="2" t="s">
        <v>186</v>
      </c>
    </row>
    <row r="22" spans="1:27" ht="102" x14ac:dyDescent="0.3">
      <c r="A22" s="9">
        <v>17</v>
      </c>
      <c r="B22" s="9" t="s">
        <v>70</v>
      </c>
      <c r="C22" s="9" t="s">
        <v>71</v>
      </c>
      <c r="D22" s="1" t="s">
        <v>134</v>
      </c>
      <c r="E22" s="1" t="s">
        <v>135</v>
      </c>
      <c r="F22" s="1" t="s">
        <v>136</v>
      </c>
      <c r="G22" s="110">
        <v>3</v>
      </c>
      <c r="H22" s="110">
        <v>5</v>
      </c>
      <c r="I22" s="117">
        <v>23</v>
      </c>
      <c r="J22" s="115">
        <f t="shared" si="3"/>
        <v>15</v>
      </c>
      <c r="K22" s="13" t="s">
        <v>151</v>
      </c>
      <c r="L22" s="110">
        <v>3</v>
      </c>
      <c r="M22" s="110">
        <v>5</v>
      </c>
      <c r="N22" s="117">
        <v>23</v>
      </c>
      <c r="O22" s="115">
        <f t="shared" si="0"/>
        <v>15</v>
      </c>
      <c r="P22" s="13" t="s">
        <v>91</v>
      </c>
      <c r="Q22" s="11" t="s">
        <v>70</v>
      </c>
      <c r="R22" s="14"/>
      <c r="S22" s="11" t="s">
        <v>35</v>
      </c>
      <c r="T22" s="110">
        <v>3</v>
      </c>
      <c r="U22" s="110">
        <v>5</v>
      </c>
      <c r="V22" s="121">
        <v>23</v>
      </c>
      <c r="W22" s="119">
        <f t="shared" si="1"/>
        <v>15</v>
      </c>
      <c r="X22" s="102">
        <f>X10</f>
        <v>344400000</v>
      </c>
      <c r="Y22" s="101">
        <f t="shared" si="2"/>
        <v>1</v>
      </c>
      <c r="Z22" s="102">
        <f t="shared" si="4"/>
        <v>344400000</v>
      </c>
    </row>
    <row r="23" spans="1:27" ht="81.599999999999994" x14ac:dyDescent="0.3">
      <c r="A23" s="9">
        <v>17</v>
      </c>
      <c r="B23" s="9" t="s">
        <v>70</v>
      </c>
      <c r="C23" s="9" t="s">
        <v>71</v>
      </c>
      <c r="D23" s="1" t="s">
        <v>166</v>
      </c>
      <c r="E23" s="1" t="s">
        <v>167</v>
      </c>
      <c r="F23" s="1" t="s">
        <v>168</v>
      </c>
      <c r="G23" s="110">
        <v>3</v>
      </c>
      <c r="H23" s="110">
        <v>4</v>
      </c>
      <c r="I23" s="117">
        <v>17</v>
      </c>
      <c r="J23" s="115">
        <f t="shared" ref="J23" si="5">H23*G23</f>
        <v>12</v>
      </c>
      <c r="K23" s="13" t="s">
        <v>169</v>
      </c>
      <c r="L23" s="110">
        <v>3</v>
      </c>
      <c r="M23" s="110">
        <v>4</v>
      </c>
      <c r="N23" s="117">
        <v>17</v>
      </c>
      <c r="O23" s="115">
        <f t="shared" ref="O23" si="6">M23*L23</f>
        <v>12</v>
      </c>
      <c r="P23" s="13" t="s">
        <v>91</v>
      </c>
      <c r="Q23" s="11" t="s">
        <v>70</v>
      </c>
      <c r="R23" s="14"/>
      <c r="S23" s="11" t="s">
        <v>35</v>
      </c>
      <c r="T23" s="110">
        <v>3</v>
      </c>
      <c r="U23" s="110">
        <v>5</v>
      </c>
      <c r="V23" s="121">
        <v>23</v>
      </c>
      <c r="W23" s="119">
        <f t="shared" ref="W23" si="7">U23*T23</f>
        <v>15</v>
      </c>
      <c r="X23" s="102">
        <v>0</v>
      </c>
      <c r="Y23" s="101">
        <f t="shared" si="2"/>
        <v>1</v>
      </c>
      <c r="Z23" s="102">
        <f t="shared" ref="Z23" si="8">Y23*X23</f>
        <v>0</v>
      </c>
      <c r="AA23" s="2" t="s">
        <v>187</v>
      </c>
    </row>
    <row r="24" spans="1:27" ht="163.19999999999999" x14ac:dyDescent="0.3">
      <c r="A24" s="9">
        <v>18</v>
      </c>
      <c r="B24" s="9" t="s">
        <v>77</v>
      </c>
      <c r="C24" s="9" t="s">
        <v>49</v>
      </c>
      <c r="D24" s="1" t="s">
        <v>106</v>
      </c>
      <c r="E24" s="1" t="s">
        <v>107</v>
      </c>
      <c r="F24" s="1" t="s">
        <v>137</v>
      </c>
      <c r="G24" s="110">
        <v>4</v>
      </c>
      <c r="H24" s="110">
        <v>5</v>
      </c>
      <c r="I24" s="117">
        <v>24</v>
      </c>
      <c r="J24" s="117">
        <f t="shared" si="3"/>
        <v>20</v>
      </c>
      <c r="K24" s="106" t="s">
        <v>152</v>
      </c>
      <c r="L24" s="110">
        <v>3</v>
      </c>
      <c r="M24" s="110">
        <v>4</v>
      </c>
      <c r="N24" s="117">
        <v>17</v>
      </c>
      <c r="O24" s="115">
        <f t="shared" si="0"/>
        <v>12</v>
      </c>
      <c r="P24" s="13" t="s">
        <v>91</v>
      </c>
      <c r="Q24" s="15" t="s">
        <v>77</v>
      </c>
      <c r="R24" s="14"/>
      <c r="S24" s="11" t="s">
        <v>35</v>
      </c>
      <c r="T24" s="110">
        <v>3</v>
      </c>
      <c r="U24" s="110">
        <v>4</v>
      </c>
      <c r="V24" s="121">
        <v>17</v>
      </c>
      <c r="W24" s="119">
        <f t="shared" si="1"/>
        <v>12</v>
      </c>
      <c r="X24" s="102">
        <f>ROUNDUP(286719366.835095,-3)</f>
        <v>286720000</v>
      </c>
      <c r="Y24" s="101">
        <f t="shared" si="2"/>
        <v>0.8</v>
      </c>
      <c r="Z24" s="102">
        <f t="shared" si="4"/>
        <v>229376000</v>
      </c>
      <c r="AA24" s="2" t="s">
        <v>188</v>
      </c>
    </row>
    <row r="25" spans="1:27" ht="83.25" customHeight="1" x14ac:dyDescent="0.3">
      <c r="A25" s="9">
        <v>19</v>
      </c>
      <c r="B25" s="9" t="s">
        <v>77</v>
      </c>
      <c r="C25" s="9" t="s">
        <v>69</v>
      </c>
      <c r="D25" s="1" t="s">
        <v>138</v>
      </c>
      <c r="E25" s="1" t="s">
        <v>139</v>
      </c>
      <c r="F25" s="1" t="s">
        <v>140</v>
      </c>
      <c r="G25" s="110">
        <v>4</v>
      </c>
      <c r="H25" s="110">
        <v>5</v>
      </c>
      <c r="I25" s="117">
        <v>24</v>
      </c>
      <c r="J25" s="117">
        <f t="shared" si="3"/>
        <v>20</v>
      </c>
      <c r="K25" s="13" t="s">
        <v>152</v>
      </c>
      <c r="L25" s="110">
        <v>3</v>
      </c>
      <c r="M25" s="110">
        <v>4</v>
      </c>
      <c r="N25" s="117">
        <v>17</v>
      </c>
      <c r="O25" s="115">
        <f t="shared" si="0"/>
        <v>12</v>
      </c>
      <c r="P25" s="13" t="s">
        <v>91</v>
      </c>
      <c r="Q25" s="11" t="s">
        <v>77</v>
      </c>
      <c r="R25" s="11"/>
      <c r="S25" s="12" t="s">
        <v>35</v>
      </c>
      <c r="T25" s="110">
        <v>3</v>
      </c>
      <c r="U25" s="110">
        <v>4</v>
      </c>
      <c r="V25" s="121">
        <v>17</v>
      </c>
      <c r="W25" s="119">
        <f t="shared" si="1"/>
        <v>12</v>
      </c>
      <c r="X25" s="102">
        <f>1148000000*0.1</f>
        <v>114800000</v>
      </c>
      <c r="Y25" s="101">
        <f t="shared" si="2"/>
        <v>0.8</v>
      </c>
      <c r="Z25" s="102">
        <f t="shared" si="4"/>
        <v>91840000</v>
      </c>
      <c r="AA25" s="2" t="s">
        <v>189</v>
      </c>
    </row>
    <row r="26" spans="1:27" ht="103.5" customHeight="1" x14ac:dyDescent="0.3">
      <c r="A26" s="9">
        <v>20</v>
      </c>
      <c r="B26" s="9"/>
      <c r="C26" s="9" t="s">
        <v>46</v>
      </c>
      <c r="D26" s="1" t="s">
        <v>155</v>
      </c>
      <c r="E26" s="1" t="s">
        <v>157</v>
      </c>
      <c r="F26" s="1" t="s">
        <v>156</v>
      </c>
      <c r="G26" s="110">
        <v>3</v>
      </c>
      <c r="H26" s="110">
        <v>4</v>
      </c>
      <c r="I26" s="117">
        <v>17</v>
      </c>
      <c r="J26" s="115">
        <f t="shared" si="3"/>
        <v>12</v>
      </c>
      <c r="K26" s="13" t="s">
        <v>158</v>
      </c>
      <c r="L26" s="110">
        <f t="shared" ref="L26" si="9">G26-1</f>
        <v>2</v>
      </c>
      <c r="M26" s="110">
        <f t="shared" ref="M26" si="10">H26-1</f>
        <v>3</v>
      </c>
      <c r="N26" s="115">
        <v>11</v>
      </c>
      <c r="O26" s="116">
        <f t="shared" si="0"/>
        <v>6</v>
      </c>
      <c r="P26" s="13" t="s">
        <v>91</v>
      </c>
      <c r="Q26" s="10" t="s">
        <v>77</v>
      </c>
      <c r="R26" s="11"/>
      <c r="S26" s="12" t="s">
        <v>35</v>
      </c>
      <c r="T26" s="110">
        <f t="shared" ref="T26" si="11">L26</f>
        <v>2</v>
      </c>
      <c r="U26" s="110">
        <f t="shared" ref="U26" si="12">M26</f>
        <v>3</v>
      </c>
      <c r="V26" s="119">
        <v>11</v>
      </c>
      <c r="W26" s="120">
        <f t="shared" si="1"/>
        <v>6</v>
      </c>
      <c r="X26" s="102">
        <f>X25</f>
        <v>114800000</v>
      </c>
      <c r="Y26" s="101">
        <f t="shared" si="2"/>
        <v>0.6</v>
      </c>
      <c r="Z26" s="102">
        <f t="shared" si="4"/>
        <v>68880000</v>
      </c>
      <c r="AA26" s="2" t="s">
        <v>190</v>
      </c>
    </row>
    <row r="27" spans="1:27" ht="103.5" customHeight="1" x14ac:dyDescent="0.3">
      <c r="A27" s="9">
        <v>21</v>
      </c>
      <c r="B27" s="9"/>
      <c r="C27" s="9" t="s">
        <v>49</v>
      </c>
      <c r="D27" s="1" t="s">
        <v>159</v>
      </c>
      <c r="E27" s="1" t="s">
        <v>160</v>
      </c>
      <c r="F27" s="1" t="s">
        <v>156</v>
      </c>
      <c r="G27" s="110">
        <v>3</v>
      </c>
      <c r="H27" s="110">
        <v>4</v>
      </c>
      <c r="I27" s="117">
        <v>17</v>
      </c>
      <c r="J27" s="115">
        <f t="shared" ref="J27" si="13">H27*G27</f>
        <v>12</v>
      </c>
      <c r="K27" s="13" t="s">
        <v>161</v>
      </c>
      <c r="L27" s="110">
        <f t="shared" ref="L27" si="14">G27-1</f>
        <v>2</v>
      </c>
      <c r="M27" s="110">
        <f t="shared" ref="M27" si="15">H27-1</f>
        <v>3</v>
      </c>
      <c r="N27" s="115">
        <v>11</v>
      </c>
      <c r="O27" s="116">
        <f t="shared" ref="O27" si="16">M27*L27</f>
        <v>6</v>
      </c>
      <c r="P27" s="13" t="s">
        <v>91</v>
      </c>
      <c r="Q27" s="10" t="s">
        <v>77</v>
      </c>
      <c r="R27" s="11"/>
      <c r="S27" s="12" t="s">
        <v>35</v>
      </c>
      <c r="T27" s="110">
        <f t="shared" ref="T27" si="17">L27</f>
        <v>2</v>
      </c>
      <c r="U27" s="110">
        <f t="shared" ref="U27" si="18">M27</f>
        <v>3</v>
      </c>
      <c r="V27" s="119">
        <v>11</v>
      </c>
      <c r="W27" s="120">
        <f t="shared" ref="W27" si="19">U27*T27</f>
        <v>6</v>
      </c>
      <c r="X27" s="102">
        <v>0</v>
      </c>
      <c r="Y27" s="101">
        <f t="shared" si="2"/>
        <v>0.6</v>
      </c>
      <c r="Z27" s="102">
        <f t="shared" ref="Z27" si="20">Y27*X27</f>
        <v>0</v>
      </c>
      <c r="AA27" s="2" t="s">
        <v>191</v>
      </c>
    </row>
    <row r="28" spans="1:27" ht="103.5" customHeight="1" x14ac:dyDescent="0.3">
      <c r="A28" s="9">
        <v>22</v>
      </c>
      <c r="B28" s="9"/>
      <c r="C28" s="9" t="s">
        <v>49</v>
      </c>
      <c r="D28" s="1" t="s">
        <v>162</v>
      </c>
      <c r="E28" s="1" t="s">
        <v>163</v>
      </c>
      <c r="F28" s="1" t="s">
        <v>164</v>
      </c>
      <c r="G28" s="110">
        <v>2</v>
      </c>
      <c r="H28" s="110">
        <v>4</v>
      </c>
      <c r="I28" s="115">
        <v>15</v>
      </c>
      <c r="J28" s="115">
        <f t="shared" ref="J28" si="21">H28*G28</f>
        <v>8</v>
      </c>
      <c r="K28" s="13" t="s">
        <v>165</v>
      </c>
      <c r="L28" s="110">
        <f t="shared" ref="L28" si="22">G28-1</f>
        <v>1</v>
      </c>
      <c r="M28" s="110">
        <f t="shared" ref="M28" si="23">H28-1</f>
        <v>3</v>
      </c>
      <c r="N28" s="116">
        <v>10</v>
      </c>
      <c r="O28" s="116">
        <f t="shared" ref="O28" si="24">M28*L28</f>
        <v>3</v>
      </c>
      <c r="P28" s="13" t="s">
        <v>91</v>
      </c>
      <c r="Q28" s="10" t="s">
        <v>77</v>
      </c>
      <c r="R28" s="11"/>
      <c r="S28" s="12" t="s">
        <v>35</v>
      </c>
      <c r="T28" s="110">
        <f t="shared" ref="T28" si="25">L28</f>
        <v>1</v>
      </c>
      <c r="U28" s="110">
        <f t="shared" ref="U28" si="26">M28</f>
        <v>3</v>
      </c>
      <c r="V28" s="120">
        <v>10</v>
      </c>
      <c r="W28" s="120">
        <f t="shared" ref="W28" si="27">U28*T28</f>
        <v>3</v>
      </c>
      <c r="X28" s="102">
        <f>1148000000*0.1</f>
        <v>114800000</v>
      </c>
      <c r="Y28" s="101">
        <f t="shared" si="2"/>
        <v>0.6</v>
      </c>
      <c r="Z28" s="102">
        <f t="shared" ref="Z28" si="28">Y28*X28</f>
        <v>68880000</v>
      </c>
      <c r="AA28" s="2" t="s">
        <v>192</v>
      </c>
    </row>
    <row r="29" spans="1:27" ht="229.5" customHeight="1" x14ac:dyDescent="0.3">
      <c r="A29" s="9">
        <v>23</v>
      </c>
      <c r="B29" s="9"/>
      <c r="C29" s="9" t="s">
        <v>71</v>
      </c>
      <c r="D29" s="1" t="s">
        <v>193</v>
      </c>
      <c r="E29" s="1" t="s">
        <v>194</v>
      </c>
      <c r="F29" s="1" t="s">
        <v>195</v>
      </c>
      <c r="G29" s="110">
        <v>4</v>
      </c>
      <c r="H29" s="110">
        <v>4</v>
      </c>
      <c r="I29" s="117">
        <v>21</v>
      </c>
      <c r="J29" s="115">
        <f t="shared" ref="J29" si="29">H29*G29</f>
        <v>16</v>
      </c>
      <c r="K29" s="13" t="s">
        <v>196</v>
      </c>
      <c r="L29" s="110">
        <v>4</v>
      </c>
      <c r="M29" s="110">
        <v>4</v>
      </c>
      <c r="N29" s="117">
        <v>21</v>
      </c>
      <c r="O29" s="115">
        <f t="shared" ref="O29" si="30">M29*L29</f>
        <v>16</v>
      </c>
      <c r="P29" s="13" t="s">
        <v>91</v>
      </c>
      <c r="Q29" s="10" t="s">
        <v>77</v>
      </c>
      <c r="R29" s="11"/>
      <c r="S29" s="12" t="s">
        <v>35</v>
      </c>
      <c r="T29" s="110">
        <f t="shared" ref="T29" si="31">L29</f>
        <v>4</v>
      </c>
      <c r="U29" s="110">
        <f t="shared" ref="U29" si="32">M29</f>
        <v>4</v>
      </c>
      <c r="V29" s="121">
        <v>21</v>
      </c>
      <c r="W29" s="119">
        <f t="shared" ref="W29" si="33">U29*T29</f>
        <v>16</v>
      </c>
      <c r="X29" s="102"/>
      <c r="Y29" s="101">
        <f t="shared" ref="Y29" si="34">IF(U29=5,1,IF(U29=4,0.8,IF(U29=3,0.6,IF(U29=2,0.4,IF(U29=1,0.2,0)))))</f>
        <v>0.8</v>
      </c>
      <c r="Z29" s="102">
        <f t="shared" ref="Z29" si="35">Y29*X29</f>
        <v>0</v>
      </c>
    </row>
    <row r="30" spans="1:27" ht="40.799999999999997" x14ac:dyDescent="0.3">
      <c r="A30" s="9">
        <v>24</v>
      </c>
      <c r="B30" s="9"/>
      <c r="C30" s="9" t="s">
        <v>197</v>
      </c>
      <c r="D30" s="1" t="s">
        <v>198</v>
      </c>
      <c r="E30" s="1" t="s">
        <v>199</v>
      </c>
      <c r="F30" s="1" t="s">
        <v>200</v>
      </c>
      <c r="G30" s="110">
        <v>5</v>
      </c>
      <c r="H30" s="110">
        <v>5</v>
      </c>
      <c r="I30" s="117">
        <v>25</v>
      </c>
      <c r="J30" s="117">
        <f t="shared" ref="J30" si="36">H30*G30</f>
        <v>25</v>
      </c>
      <c r="K30" s="13" t="s">
        <v>202</v>
      </c>
      <c r="L30" s="110">
        <v>4</v>
      </c>
      <c r="M30" s="110">
        <v>4</v>
      </c>
      <c r="N30" s="117">
        <v>21</v>
      </c>
      <c r="O30" s="115">
        <f t="shared" ref="O30" si="37">M30*L30</f>
        <v>16</v>
      </c>
      <c r="P30" s="13" t="s">
        <v>201</v>
      </c>
      <c r="Q30" s="10" t="s">
        <v>77</v>
      </c>
      <c r="R30" s="11"/>
      <c r="S30" s="12" t="s">
        <v>35</v>
      </c>
      <c r="T30" s="110">
        <f t="shared" ref="T30" si="38">L30</f>
        <v>4</v>
      </c>
      <c r="U30" s="110">
        <f t="shared" ref="U30" si="39">M30</f>
        <v>4</v>
      </c>
      <c r="V30" s="121">
        <v>21</v>
      </c>
      <c r="W30" s="119">
        <f t="shared" ref="W30" si="40">U30*T30</f>
        <v>16</v>
      </c>
      <c r="X30" s="102"/>
      <c r="Y30" s="101">
        <f t="shared" ref="Y30" si="41">IF(U30=5,1,IF(U30=4,0.8,IF(U30=3,0.6,IF(U30=2,0.4,IF(U30=1,0.2,0)))))</f>
        <v>0.8</v>
      </c>
      <c r="Z30" s="102">
        <f t="shared" ref="Z30" si="42">Y30*X30</f>
        <v>0</v>
      </c>
    </row>
    <row r="31" spans="1:27" ht="102" x14ac:dyDescent="0.3">
      <c r="A31" s="9">
        <v>25</v>
      </c>
      <c r="B31" s="9"/>
      <c r="C31" s="9" t="s">
        <v>197</v>
      </c>
      <c r="D31" s="1" t="s">
        <v>203</v>
      </c>
      <c r="E31" s="1" t="s">
        <v>199</v>
      </c>
      <c r="F31" s="1" t="s">
        <v>204</v>
      </c>
      <c r="G31" s="110">
        <v>4</v>
      </c>
      <c r="H31" s="110">
        <v>3</v>
      </c>
      <c r="I31" s="115">
        <v>16</v>
      </c>
      <c r="J31" s="115">
        <f t="shared" ref="J31" si="43">H31*G31</f>
        <v>12</v>
      </c>
      <c r="K31" s="13" t="s">
        <v>205</v>
      </c>
      <c r="L31" s="110">
        <v>3</v>
      </c>
      <c r="M31" s="110">
        <v>2</v>
      </c>
      <c r="N31" s="116">
        <v>6</v>
      </c>
      <c r="O31" s="116">
        <f t="shared" ref="O31" si="44">M31*L31</f>
        <v>6</v>
      </c>
      <c r="P31" s="13" t="s">
        <v>206</v>
      </c>
      <c r="Q31" s="10" t="s">
        <v>77</v>
      </c>
      <c r="R31" s="11"/>
      <c r="S31" s="12" t="s">
        <v>35</v>
      </c>
      <c r="T31" s="110">
        <f t="shared" ref="T31" si="45">L31</f>
        <v>3</v>
      </c>
      <c r="U31" s="110">
        <f t="shared" ref="U31" si="46">M31</f>
        <v>2</v>
      </c>
      <c r="V31" s="120">
        <v>6</v>
      </c>
      <c r="W31" s="120">
        <f t="shared" ref="W31" si="47">U31*T31</f>
        <v>6</v>
      </c>
      <c r="X31" s="102"/>
      <c r="Y31" s="101">
        <f t="shared" ref="Y31" si="48">IF(U31=5,1,IF(U31=4,0.8,IF(U31=3,0.6,IF(U31=2,0.4,IF(U31=1,0.2,0)))))</f>
        <v>0.4</v>
      </c>
      <c r="Z31" s="102">
        <f t="shared" ref="Z31" si="49">Y31*X31</f>
        <v>0</v>
      </c>
    </row>
    <row r="32" spans="1:27" ht="61.2" x14ac:dyDescent="0.3">
      <c r="A32" s="9">
        <v>26</v>
      </c>
      <c r="B32" s="9"/>
      <c r="C32" s="9" t="s">
        <v>197</v>
      </c>
      <c r="D32" s="1" t="s">
        <v>207</v>
      </c>
      <c r="E32" s="1" t="s">
        <v>199</v>
      </c>
      <c r="F32" s="1" t="s">
        <v>208</v>
      </c>
      <c r="G32" s="110">
        <v>5</v>
      </c>
      <c r="H32" s="110">
        <v>3</v>
      </c>
      <c r="I32" s="117">
        <v>20</v>
      </c>
      <c r="J32" s="115">
        <f t="shared" ref="J32" si="50">H32*G32</f>
        <v>15</v>
      </c>
      <c r="K32" s="13" t="s">
        <v>209</v>
      </c>
      <c r="L32" s="110">
        <f t="shared" ref="L32:L63" si="51">G32-1</f>
        <v>4</v>
      </c>
      <c r="M32" s="110">
        <f t="shared" ref="M32:M63" si="52">H32-1</f>
        <v>2</v>
      </c>
      <c r="N32" s="115">
        <v>9</v>
      </c>
      <c r="O32" s="115">
        <f t="shared" ref="O32" si="53">M32*L32</f>
        <v>8</v>
      </c>
      <c r="P32" s="13" t="s">
        <v>210</v>
      </c>
      <c r="Q32" s="10" t="s">
        <v>77</v>
      </c>
      <c r="R32" s="11"/>
      <c r="S32" s="12" t="s">
        <v>35</v>
      </c>
      <c r="T32" s="110">
        <f t="shared" ref="T32" si="54">L32</f>
        <v>4</v>
      </c>
      <c r="U32" s="110">
        <f t="shared" ref="U32" si="55">M32</f>
        <v>2</v>
      </c>
      <c r="V32" s="119">
        <v>9</v>
      </c>
      <c r="W32" s="119">
        <f t="shared" ref="W32" si="56">U32*T32</f>
        <v>8</v>
      </c>
      <c r="X32" s="102"/>
      <c r="Y32" s="101">
        <f t="shared" ref="Y32" si="57">IF(U32=5,1,IF(U32=4,0.8,IF(U32=3,0.6,IF(U32=2,0.4,IF(U32=1,0.2,0)))))</f>
        <v>0.4</v>
      </c>
      <c r="Z32" s="102">
        <f t="shared" ref="Z32" si="58">Y32*X32</f>
        <v>0</v>
      </c>
    </row>
    <row r="33" spans="1:26" ht="81.599999999999994" x14ac:dyDescent="0.3">
      <c r="A33" s="9">
        <v>27</v>
      </c>
      <c r="B33" s="9"/>
      <c r="C33" s="9" t="s">
        <v>197</v>
      </c>
      <c r="D33" s="1" t="s">
        <v>211</v>
      </c>
      <c r="E33" s="1" t="s">
        <v>199</v>
      </c>
      <c r="F33" s="1" t="s">
        <v>212</v>
      </c>
      <c r="G33" s="110">
        <v>4</v>
      </c>
      <c r="H33" s="110">
        <v>4</v>
      </c>
      <c r="I33" s="117">
        <v>21</v>
      </c>
      <c r="J33" s="115">
        <f t="shared" ref="J33" si="59">H33*G33</f>
        <v>16</v>
      </c>
      <c r="K33" s="13" t="s">
        <v>214</v>
      </c>
      <c r="L33" s="110">
        <f t="shared" si="51"/>
        <v>3</v>
      </c>
      <c r="M33" s="110">
        <f t="shared" si="52"/>
        <v>3</v>
      </c>
      <c r="N33" s="115">
        <v>12</v>
      </c>
      <c r="O33" s="115">
        <f t="shared" ref="O33" si="60">M33*L33</f>
        <v>9</v>
      </c>
      <c r="P33" s="13"/>
      <c r="Q33" s="10" t="s">
        <v>77</v>
      </c>
      <c r="R33" s="11"/>
      <c r="S33" s="12" t="s">
        <v>35</v>
      </c>
      <c r="T33" s="110">
        <f t="shared" ref="T33" si="61">L33</f>
        <v>3</v>
      </c>
      <c r="U33" s="110">
        <f t="shared" ref="U33" si="62">M33</f>
        <v>3</v>
      </c>
      <c r="V33" s="119">
        <v>12</v>
      </c>
      <c r="W33" s="119">
        <f t="shared" ref="W33" si="63">U33*T33</f>
        <v>9</v>
      </c>
      <c r="X33" s="102"/>
      <c r="Y33" s="101">
        <f t="shared" ref="Y33" si="64">IF(U33=5,1,IF(U33=4,0.8,IF(U33=3,0.6,IF(U33=2,0.4,IF(U33=1,0.2,0)))))</f>
        <v>0.6</v>
      </c>
      <c r="Z33" s="102">
        <f t="shared" ref="Z33" si="65">Y33*X33</f>
        <v>0</v>
      </c>
    </row>
    <row r="34" spans="1:26" ht="102" x14ac:dyDescent="0.3">
      <c r="A34" s="9">
        <v>28</v>
      </c>
      <c r="B34" s="9"/>
      <c r="C34" s="9" t="s">
        <v>197</v>
      </c>
      <c r="D34" s="1" t="s">
        <v>215</v>
      </c>
      <c r="E34" s="1" t="s">
        <v>199</v>
      </c>
      <c r="F34" s="1" t="s">
        <v>347</v>
      </c>
      <c r="G34" s="110">
        <v>3</v>
      </c>
      <c r="H34" s="110">
        <v>4</v>
      </c>
      <c r="I34" s="117">
        <v>17</v>
      </c>
      <c r="J34" s="115">
        <f t="shared" ref="J34" si="66">H34*G34</f>
        <v>12</v>
      </c>
      <c r="K34" s="13" t="s">
        <v>216</v>
      </c>
      <c r="L34" s="110">
        <f t="shared" si="51"/>
        <v>2</v>
      </c>
      <c r="M34" s="110">
        <f t="shared" si="52"/>
        <v>3</v>
      </c>
      <c r="N34" s="115">
        <v>11</v>
      </c>
      <c r="O34" s="116">
        <f t="shared" ref="O34" si="67">M34*L34</f>
        <v>6</v>
      </c>
      <c r="P34" s="13" t="s">
        <v>217</v>
      </c>
      <c r="Q34" s="10" t="s">
        <v>77</v>
      </c>
      <c r="R34" s="11"/>
      <c r="S34" s="12" t="s">
        <v>35</v>
      </c>
      <c r="T34" s="110">
        <f t="shared" ref="T34" si="68">L34</f>
        <v>2</v>
      </c>
      <c r="U34" s="110">
        <f t="shared" ref="U34" si="69">M34</f>
        <v>3</v>
      </c>
      <c r="V34" s="119">
        <v>11</v>
      </c>
      <c r="W34" s="120">
        <f t="shared" ref="W34" si="70">U34*T34</f>
        <v>6</v>
      </c>
      <c r="X34" s="102"/>
      <c r="Y34" s="101">
        <f t="shared" ref="Y34" si="71">IF(U34=5,1,IF(U34=4,0.8,IF(U34=3,0.6,IF(U34=2,0.4,IF(U34=1,0.2,0)))))</f>
        <v>0.6</v>
      </c>
      <c r="Z34" s="102">
        <f t="shared" ref="Z34" si="72">Y34*X34</f>
        <v>0</v>
      </c>
    </row>
    <row r="35" spans="1:26" ht="81.599999999999994" x14ac:dyDescent="0.3">
      <c r="A35" s="9">
        <v>29</v>
      </c>
      <c r="B35" s="9"/>
      <c r="C35" s="9" t="s">
        <v>197</v>
      </c>
      <c r="D35" s="1" t="s">
        <v>218</v>
      </c>
      <c r="E35" s="1" t="s">
        <v>199</v>
      </c>
      <c r="F35" s="1" t="s">
        <v>219</v>
      </c>
      <c r="G35" s="110">
        <v>3</v>
      </c>
      <c r="H35" s="110">
        <v>5</v>
      </c>
      <c r="I35" s="117">
        <v>23</v>
      </c>
      <c r="J35" s="115">
        <f t="shared" ref="J35" si="73">H35*G35</f>
        <v>15</v>
      </c>
      <c r="K35" s="13" t="s">
        <v>220</v>
      </c>
      <c r="L35" s="110">
        <f t="shared" si="51"/>
        <v>2</v>
      </c>
      <c r="M35" s="110">
        <f t="shared" si="52"/>
        <v>4</v>
      </c>
      <c r="N35" s="115">
        <v>15</v>
      </c>
      <c r="O35" s="115">
        <f t="shared" ref="O35" si="74">M35*L35</f>
        <v>8</v>
      </c>
      <c r="P35" s="13" t="s">
        <v>221</v>
      </c>
      <c r="Q35" s="10" t="s">
        <v>77</v>
      </c>
      <c r="R35" s="11"/>
      <c r="S35" s="12" t="s">
        <v>35</v>
      </c>
      <c r="T35" s="110">
        <f t="shared" ref="T35" si="75">L35</f>
        <v>2</v>
      </c>
      <c r="U35" s="110">
        <f t="shared" ref="U35" si="76">M35</f>
        <v>4</v>
      </c>
      <c r="V35" s="119">
        <v>15</v>
      </c>
      <c r="W35" s="119">
        <f t="shared" ref="W35" si="77">U35*T35</f>
        <v>8</v>
      </c>
      <c r="X35" s="102"/>
      <c r="Y35" s="101">
        <f t="shared" ref="Y35" si="78">IF(U35=5,1,IF(U35=4,0.8,IF(U35=3,0.6,IF(U35=2,0.4,IF(U35=1,0.2,0)))))</f>
        <v>0.8</v>
      </c>
      <c r="Z35" s="102">
        <f t="shared" ref="Z35" si="79">Y35*X35</f>
        <v>0</v>
      </c>
    </row>
    <row r="36" spans="1:26" ht="81.599999999999994" x14ac:dyDescent="0.3">
      <c r="A36" s="9">
        <v>30</v>
      </c>
      <c r="B36" s="9"/>
      <c r="C36" s="9" t="s">
        <v>197</v>
      </c>
      <c r="D36" s="1" t="s">
        <v>222</v>
      </c>
      <c r="E36" s="1" t="s">
        <v>199</v>
      </c>
      <c r="F36" s="1" t="s">
        <v>223</v>
      </c>
      <c r="G36" s="110">
        <v>5</v>
      </c>
      <c r="H36" s="110">
        <v>4</v>
      </c>
      <c r="I36" s="117">
        <v>22</v>
      </c>
      <c r="J36" s="117">
        <f t="shared" ref="J36" si="80">H36*G36</f>
        <v>20</v>
      </c>
      <c r="K36" s="13" t="s">
        <v>224</v>
      </c>
      <c r="L36" s="110">
        <f t="shared" si="51"/>
        <v>4</v>
      </c>
      <c r="M36" s="110">
        <f t="shared" si="52"/>
        <v>3</v>
      </c>
      <c r="N36" s="115">
        <v>16</v>
      </c>
      <c r="O36" s="115">
        <f t="shared" ref="O36" si="81">M36*L36</f>
        <v>12</v>
      </c>
      <c r="P36" s="13"/>
      <c r="Q36" s="10" t="s">
        <v>77</v>
      </c>
      <c r="R36" s="11"/>
      <c r="S36" s="12" t="s">
        <v>35</v>
      </c>
      <c r="T36" s="110">
        <f t="shared" ref="T36" si="82">L36</f>
        <v>4</v>
      </c>
      <c r="U36" s="110">
        <f t="shared" ref="U36" si="83">M36</f>
        <v>3</v>
      </c>
      <c r="V36" s="119">
        <v>16</v>
      </c>
      <c r="W36" s="119">
        <f t="shared" ref="W36" si="84">U36*T36</f>
        <v>12</v>
      </c>
      <c r="X36" s="102"/>
      <c r="Y36" s="101">
        <f t="shared" ref="Y36" si="85">IF(U36=5,1,IF(U36=4,0.8,IF(U36=3,0.6,IF(U36=2,0.4,IF(U36=1,0.2,0)))))</f>
        <v>0.6</v>
      </c>
      <c r="Z36" s="102">
        <f t="shared" ref="Z36" si="86">Y36*X36</f>
        <v>0</v>
      </c>
    </row>
    <row r="37" spans="1:26" ht="61.2" x14ac:dyDescent="0.3">
      <c r="A37" s="9">
        <v>31</v>
      </c>
      <c r="B37" s="9"/>
      <c r="C37" s="9" t="s">
        <v>197</v>
      </c>
      <c r="D37" s="1" t="s">
        <v>225</v>
      </c>
      <c r="E37" s="1" t="s">
        <v>199</v>
      </c>
      <c r="F37" s="1" t="s">
        <v>226</v>
      </c>
      <c r="G37" s="110">
        <v>4</v>
      </c>
      <c r="H37" s="110">
        <v>4</v>
      </c>
      <c r="I37" s="117">
        <v>21</v>
      </c>
      <c r="J37" s="115">
        <f t="shared" ref="J37" si="87">H37*G37</f>
        <v>16</v>
      </c>
      <c r="K37" s="13" t="s">
        <v>227</v>
      </c>
      <c r="L37" s="110">
        <f t="shared" si="51"/>
        <v>3</v>
      </c>
      <c r="M37" s="110">
        <f t="shared" si="52"/>
        <v>3</v>
      </c>
      <c r="N37" s="115">
        <v>12</v>
      </c>
      <c r="O37" s="115">
        <f t="shared" ref="O37" si="88">M37*L37</f>
        <v>9</v>
      </c>
      <c r="P37" s="13" t="s">
        <v>228</v>
      </c>
      <c r="Q37" s="10" t="s">
        <v>77</v>
      </c>
      <c r="R37" s="11"/>
      <c r="S37" s="12" t="s">
        <v>35</v>
      </c>
      <c r="T37" s="110">
        <f t="shared" ref="T37" si="89">L37</f>
        <v>3</v>
      </c>
      <c r="U37" s="110">
        <f t="shared" ref="U37" si="90">M37</f>
        <v>3</v>
      </c>
      <c r="V37" s="119">
        <v>12</v>
      </c>
      <c r="W37" s="119">
        <f t="shared" ref="W37" si="91">U37*T37</f>
        <v>9</v>
      </c>
      <c r="X37" s="102"/>
      <c r="Y37" s="101">
        <f t="shared" ref="Y37" si="92">IF(U37=5,1,IF(U37=4,0.8,IF(U37=3,0.6,IF(U37=2,0.4,IF(U37=1,0.2,0)))))</f>
        <v>0.6</v>
      </c>
      <c r="Z37" s="102">
        <f t="shared" ref="Z37" si="93">Y37*X37</f>
        <v>0</v>
      </c>
    </row>
    <row r="38" spans="1:26" ht="61.2" x14ac:dyDescent="0.3">
      <c r="A38" s="9">
        <v>32</v>
      </c>
      <c r="B38" s="9"/>
      <c r="C38" s="9" t="s">
        <v>197</v>
      </c>
      <c r="D38" s="1" t="s">
        <v>230</v>
      </c>
      <c r="E38" s="1" t="s">
        <v>199</v>
      </c>
      <c r="F38" s="1" t="s">
        <v>229</v>
      </c>
      <c r="G38" s="110">
        <v>4</v>
      </c>
      <c r="H38" s="110">
        <v>5</v>
      </c>
      <c r="I38" s="117">
        <v>24</v>
      </c>
      <c r="J38" s="117">
        <f t="shared" ref="J38" si="94">H38*G38</f>
        <v>20</v>
      </c>
      <c r="K38" s="13" t="s">
        <v>231</v>
      </c>
      <c r="L38" s="110">
        <f t="shared" si="51"/>
        <v>3</v>
      </c>
      <c r="M38" s="110">
        <f t="shared" si="52"/>
        <v>4</v>
      </c>
      <c r="N38" s="117">
        <v>17</v>
      </c>
      <c r="O38" s="115">
        <f t="shared" ref="O38" si="95">M38*L38</f>
        <v>12</v>
      </c>
      <c r="P38" s="13"/>
      <c r="Q38" s="10" t="s">
        <v>77</v>
      </c>
      <c r="R38" s="11"/>
      <c r="S38" s="12" t="s">
        <v>35</v>
      </c>
      <c r="T38" s="110">
        <f t="shared" ref="T38" si="96">L38</f>
        <v>3</v>
      </c>
      <c r="U38" s="110">
        <f t="shared" ref="U38" si="97">M38</f>
        <v>4</v>
      </c>
      <c r="V38" s="121">
        <v>17</v>
      </c>
      <c r="W38" s="119">
        <f t="shared" ref="W38" si="98">U38*T38</f>
        <v>12</v>
      </c>
      <c r="X38" s="102"/>
      <c r="Y38" s="101">
        <f t="shared" ref="Y38" si="99">IF(U38=5,1,IF(U38=4,0.8,IF(U38=3,0.6,IF(U38=2,0.4,IF(U38=1,0.2,0)))))</f>
        <v>0.8</v>
      </c>
      <c r="Z38" s="102">
        <f t="shared" ref="Z38" si="100">Y38*X38</f>
        <v>0</v>
      </c>
    </row>
    <row r="39" spans="1:26" ht="61.2" x14ac:dyDescent="0.3">
      <c r="A39" s="9">
        <v>33</v>
      </c>
      <c r="B39" s="9"/>
      <c r="C39" s="9" t="s">
        <v>197</v>
      </c>
      <c r="D39" s="1" t="s">
        <v>232</v>
      </c>
      <c r="E39" s="1" t="s">
        <v>199</v>
      </c>
      <c r="F39" s="1" t="s">
        <v>233</v>
      </c>
      <c r="G39" s="110">
        <v>3</v>
      </c>
      <c r="H39" s="110">
        <v>4</v>
      </c>
      <c r="I39" s="117">
        <v>17</v>
      </c>
      <c r="J39" s="115">
        <f t="shared" ref="J39" si="101">H39*G39</f>
        <v>12</v>
      </c>
      <c r="K39" s="13" t="s">
        <v>213</v>
      </c>
      <c r="L39" s="110">
        <f t="shared" si="51"/>
        <v>2</v>
      </c>
      <c r="M39" s="110">
        <f t="shared" si="52"/>
        <v>3</v>
      </c>
      <c r="N39" s="115">
        <v>11</v>
      </c>
      <c r="O39" s="116">
        <f t="shared" ref="O39" si="102">M39*L39</f>
        <v>6</v>
      </c>
      <c r="P39" s="13" t="s">
        <v>234</v>
      </c>
      <c r="Q39" s="10" t="s">
        <v>77</v>
      </c>
      <c r="R39" s="11"/>
      <c r="S39" s="12" t="s">
        <v>35</v>
      </c>
      <c r="T39" s="110">
        <f t="shared" ref="T39" si="103">L39</f>
        <v>2</v>
      </c>
      <c r="U39" s="110">
        <f t="shared" ref="U39" si="104">M39</f>
        <v>3</v>
      </c>
      <c r="V39" s="119">
        <v>11</v>
      </c>
      <c r="W39" s="120">
        <f t="shared" ref="W39" si="105">U39*T39</f>
        <v>6</v>
      </c>
      <c r="X39" s="102"/>
      <c r="Y39" s="101">
        <f t="shared" ref="Y39" si="106">IF(U39=5,1,IF(U39=4,0.8,IF(U39=3,0.6,IF(U39=2,0.4,IF(U39=1,0.2,0)))))</f>
        <v>0.6</v>
      </c>
      <c r="Z39" s="102">
        <f t="shared" ref="Z39" si="107">Y39*X39</f>
        <v>0</v>
      </c>
    </row>
    <row r="40" spans="1:26" ht="40.799999999999997" x14ac:dyDescent="0.3">
      <c r="A40" s="9">
        <v>34</v>
      </c>
      <c r="B40" s="9"/>
      <c r="C40" s="9" t="s">
        <v>197</v>
      </c>
      <c r="D40" s="1" t="s">
        <v>235</v>
      </c>
      <c r="E40" s="1" t="s">
        <v>199</v>
      </c>
      <c r="F40" s="1" t="s">
        <v>236</v>
      </c>
      <c r="G40" s="110">
        <v>3</v>
      </c>
      <c r="H40" s="110">
        <v>5</v>
      </c>
      <c r="I40" s="117">
        <v>23</v>
      </c>
      <c r="J40" s="115">
        <f t="shared" ref="J40" si="108">H40*G40</f>
        <v>15</v>
      </c>
      <c r="K40" s="13" t="s">
        <v>213</v>
      </c>
      <c r="L40" s="110">
        <f t="shared" si="51"/>
        <v>2</v>
      </c>
      <c r="M40" s="110">
        <f t="shared" si="52"/>
        <v>4</v>
      </c>
      <c r="N40" s="115">
        <v>15</v>
      </c>
      <c r="O40" s="115">
        <f t="shared" ref="O40" si="109">M40*L40</f>
        <v>8</v>
      </c>
      <c r="P40" s="13" t="s">
        <v>237</v>
      </c>
      <c r="Q40" s="10" t="s">
        <v>77</v>
      </c>
      <c r="R40" s="11"/>
      <c r="S40" s="12" t="s">
        <v>35</v>
      </c>
      <c r="T40" s="110">
        <f t="shared" ref="T40" si="110">L40</f>
        <v>2</v>
      </c>
      <c r="U40" s="110">
        <f t="shared" ref="U40" si="111">M40</f>
        <v>4</v>
      </c>
      <c r="V40" s="119">
        <v>15</v>
      </c>
      <c r="W40" s="119">
        <f t="shared" ref="W40" si="112">U40*T40</f>
        <v>8</v>
      </c>
      <c r="X40" s="102"/>
      <c r="Y40" s="101">
        <f t="shared" ref="Y40" si="113">IF(U40=5,1,IF(U40=4,0.8,IF(U40=3,0.6,IF(U40=2,0.4,IF(U40=1,0.2,0)))))</f>
        <v>0.8</v>
      </c>
      <c r="Z40" s="102">
        <f t="shared" ref="Z40" si="114">Y40*X40</f>
        <v>0</v>
      </c>
    </row>
    <row r="41" spans="1:26" ht="40.799999999999997" x14ac:dyDescent="0.3">
      <c r="A41" s="9">
        <v>35</v>
      </c>
      <c r="B41" s="9"/>
      <c r="C41" s="9" t="s">
        <v>197</v>
      </c>
      <c r="D41" s="1" t="s">
        <v>238</v>
      </c>
      <c r="E41" s="1" t="s">
        <v>199</v>
      </c>
      <c r="F41" s="1" t="s">
        <v>239</v>
      </c>
      <c r="G41" s="110">
        <v>4</v>
      </c>
      <c r="H41" s="110">
        <v>5</v>
      </c>
      <c r="I41" s="117">
        <v>24</v>
      </c>
      <c r="J41" s="117">
        <f t="shared" ref="J41" si="115">H41*G41</f>
        <v>20</v>
      </c>
      <c r="K41" s="13" t="s">
        <v>213</v>
      </c>
      <c r="L41" s="110">
        <f t="shared" si="51"/>
        <v>3</v>
      </c>
      <c r="M41" s="110">
        <f t="shared" si="52"/>
        <v>4</v>
      </c>
      <c r="N41" s="117">
        <v>17</v>
      </c>
      <c r="O41" s="115">
        <f t="shared" ref="O41" si="116">M41*L41</f>
        <v>12</v>
      </c>
      <c r="P41" s="13"/>
      <c r="Q41" s="10" t="s">
        <v>77</v>
      </c>
      <c r="R41" s="11"/>
      <c r="S41" s="12" t="s">
        <v>35</v>
      </c>
      <c r="T41" s="110">
        <f t="shared" ref="T41" si="117">L41</f>
        <v>3</v>
      </c>
      <c r="U41" s="110">
        <f t="shared" ref="U41" si="118">M41</f>
        <v>4</v>
      </c>
      <c r="V41" s="121">
        <v>17</v>
      </c>
      <c r="W41" s="119">
        <f t="shared" ref="W41" si="119">U41*T41</f>
        <v>12</v>
      </c>
      <c r="X41" s="102"/>
      <c r="Y41" s="101">
        <f t="shared" ref="Y41" si="120">IF(U41=5,1,IF(U41=4,0.8,IF(U41=3,0.6,IF(U41=2,0.4,IF(U41=1,0.2,0)))))</f>
        <v>0.8</v>
      </c>
      <c r="Z41" s="102">
        <f t="shared" ref="Z41" si="121">Y41*X41</f>
        <v>0</v>
      </c>
    </row>
    <row r="42" spans="1:26" ht="40.799999999999997" x14ac:dyDescent="0.3">
      <c r="A42" s="9">
        <v>36</v>
      </c>
      <c r="B42" s="9"/>
      <c r="C42" s="9" t="s">
        <v>197</v>
      </c>
      <c r="D42" s="1" t="s">
        <v>240</v>
      </c>
      <c r="E42" s="1" t="s">
        <v>199</v>
      </c>
      <c r="F42" s="1" t="s">
        <v>241</v>
      </c>
      <c r="G42" s="110">
        <v>4</v>
      </c>
      <c r="H42" s="110">
        <v>4</v>
      </c>
      <c r="I42" s="117">
        <v>21</v>
      </c>
      <c r="J42" s="115">
        <f t="shared" ref="J42" si="122">H42*G42</f>
        <v>16</v>
      </c>
      <c r="K42" s="13" t="s">
        <v>242</v>
      </c>
      <c r="L42" s="110">
        <f t="shared" si="51"/>
        <v>3</v>
      </c>
      <c r="M42" s="110">
        <f t="shared" si="52"/>
        <v>3</v>
      </c>
      <c r="N42" s="115">
        <v>12</v>
      </c>
      <c r="O42" s="115">
        <f t="shared" ref="O42" si="123">M42*L42</f>
        <v>9</v>
      </c>
      <c r="P42" s="13"/>
      <c r="Q42" s="10" t="s">
        <v>77</v>
      </c>
      <c r="R42" s="11"/>
      <c r="S42" s="12" t="s">
        <v>35</v>
      </c>
      <c r="T42" s="110">
        <f t="shared" ref="T42" si="124">L42</f>
        <v>3</v>
      </c>
      <c r="U42" s="110">
        <f t="shared" ref="U42" si="125">M42</f>
        <v>3</v>
      </c>
      <c r="V42" s="119">
        <v>12</v>
      </c>
      <c r="W42" s="119">
        <f t="shared" ref="W42" si="126">U42*T42</f>
        <v>9</v>
      </c>
      <c r="X42" s="102"/>
      <c r="Y42" s="101">
        <f t="shared" ref="Y42" si="127">IF(U42=5,1,IF(U42=4,0.8,IF(U42=3,0.6,IF(U42=2,0.4,IF(U42=1,0.2,0)))))</f>
        <v>0.6</v>
      </c>
      <c r="Z42" s="102">
        <f t="shared" ref="Z42" si="128">Y42*X42</f>
        <v>0</v>
      </c>
    </row>
    <row r="43" spans="1:26" ht="40.799999999999997" x14ac:dyDescent="0.3">
      <c r="A43" s="9">
        <v>37</v>
      </c>
      <c r="B43" s="9"/>
      <c r="C43" s="9" t="s">
        <v>197</v>
      </c>
      <c r="D43" s="1" t="s">
        <v>243</v>
      </c>
      <c r="E43" s="1" t="s">
        <v>199</v>
      </c>
      <c r="F43" s="1" t="s">
        <v>244</v>
      </c>
      <c r="G43" s="110">
        <v>4</v>
      </c>
      <c r="H43" s="110">
        <v>4</v>
      </c>
      <c r="I43" s="117">
        <v>21</v>
      </c>
      <c r="J43" s="115">
        <f t="shared" ref="J43" si="129">H43*G43</f>
        <v>16</v>
      </c>
      <c r="K43" s="13" t="s">
        <v>242</v>
      </c>
      <c r="L43" s="110">
        <f t="shared" si="51"/>
        <v>3</v>
      </c>
      <c r="M43" s="110">
        <f t="shared" si="52"/>
        <v>3</v>
      </c>
      <c r="N43" s="115">
        <v>12</v>
      </c>
      <c r="O43" s="115">
        <f t="shared" ref="O43" si="130">M43*L43</f>
        <v>9</v>
      </c>
      <c r="P43" s="13"/>
      <c r="Q43" s="10" t="s">
        <v>77</v>
      </c>
      <c r="R43" s="11"/>
      <c r="S43" s="12" t="s">
        <v>35</v>
      </c>
      <c r="T43" s="110">
        <f t="shared" ref="T43" si="131">L43</f>
        <v>3</v>
      </c>
      <c r="U43" s="110">
        <f t="shared" ref="U43" si="132">M43</f>
        <v>3</v>
      </c>
      <c r="V43" s="119">
        <v>12</v>
      </c>
      <c r="W43" s="119">
        <f t="shared" ref="W43" si="133">U43*T43</f>
        <v>9</v>
      </c>
      <c r="X43" s="102"/>
      <c r="Y43" s="101">
        <f t="shared" ref="Y43" si="134">IF(U43=5,1,IF(U43=4,0.8,IF(U43=3,0.6,IF(U43=2,0.4,IF(U43=1,0.2,0)))))</f>
        <v>0.6</v>
      </c>
      <c r="Z43" s="102">
        <f t="shared" ref="Z43" si="135">Y43*X43</f>
        <v>0</v>
      </c>
    </row>
    <row r="44" spans="1:26" ht="40.799999999999997" x14ac:dyDescent="0.3">
      <c r="A44" s="9">
        <v>38</v>
      </c>
      <c r="B44" s="9"/>
      <c r="C44" s="9" t="s">
        <v>197</v>
      </c>
      <c r="D44" s="1" t="s">
        <v>245</v>
      </c>
      <c r="E44" s="1" t="s">
        <v>199</v>
      </c>
      <c r="F44" s="1" t="s">
        <v>246</v>
      </c>
      <c r="G44" s="110">
        <v>4</v>
      </c>
      <c r="H44" s="110">
        <v>4</v>
      </c>
      <c r="I44" s="117">
        <v>21</v>
      </c>
      <c r="J44" s="115">
        <f t="shared" ref="J44" si="136">H44*G44</f>
        <v>16</v>
      </c>
      <c r="K44" s="13" t="s">
        <v>242</v>
      </c>
      <c r="L44" s="110">
        <f t="shared" si="51"/>
        <v>3</v>
      </c>
      <c r="M44" s="110">
        <f t="shared" si="52"/>
        <v>3</v>
      </c>
      <c r="N44" s="115">
        <v>12</v>
      </c>
      <c r="O44" s="115">
        <f t="shared" ref="O44" si="137">M44*L44</f>
        <v>9</v>
      </c>
      <c r="P44" s="13"/>
      <c r="Q44" s="10" t="s">
        <v>77</v>
      </c>
      <c r="R44" s="11"/>
      <c r="S44" s="12" t="s">
        <v>35</v>
      </c>
      <c r="T44" s="110">
        <f t="shared" ref="T44" si="138">L44</f>
        <v>3</v>
      </c>
      <c r="U44" s="110">
        <f t="shared" ref="U44" si="139">M44</f>
        <v>3</v>
      </c>
      <c r="V44" s="119">
        <v>12</v>
      </c>
      <c r="W44" s="119">
        <f t="shared" ref="W44" si="140">U44*T44</f>
        <v>9</v>
      </c>
      <c r="X44" s="102"/>
      <c r="Y44" s="101">
        <f t="shared" ref="Y44" si="141">IF(U44=5,1,IF(U44=4,0.8,IF(U44=3,0.6,IF(U44=2,0.4,IF(U44=1,0.2,0)))))</f>
        <v>0.6</v>
      </c>
      <c r="Z44" s="102">
        <f t="shared" ref="Z44" si="142">Y44*X44</f>
        <v>0</v>
      </c>
    </row>
    <row r="45" spans="1:26" x14ac:dyDescent="0.3">
      <c r="A45" s="9">
        <v>39</v>
      </c>
      <c r="B45" s="9"/>
      <c r="C45" s="9" t="s">
        <v>197</v>
      </c>
      <c r="D45" s="1" t="s">
        <v>247</v>
      </c>
      <c r="E45" s="1" t="s">
        <v>199</v>
      </c>
      <c r="F45" s="1" t="s">
        <v>248</v>
      </c>
      <c r="G45" s="110">
        <v>4</v>
      </c>
      <c r="H45" s="110">
        <v>5</v>
      </c>
      <c r="I45" s="117">
        <v>24</v>
      </c>
      <c r="J45" s="117">
        <f t="shared" ref="J45" si="143">H45*G45</f>
        <v>20</v>
      </c>
      <c r="K45" s="13" t="s">
        <v>242</v>
      </c>
      <c r="L45" s="110">
        <f t="shared" si="51"/>
        <v>3</v>
      </c>
      <c r="M45" s="110">
        <f t="shared" si="52"/>
        <v>4</v>
      </c>
      <c r="N45" s="117">
        <v>17</v>
      </c>
      <c r="O45" s="115">
        <f t="shared" ref="O45" si="144">M45*L45</f>
        <v>12</v>
      </c>
      <c r="P45" s="13"/>
      <c r="Q45" s="10" t="s">
        <v>77</v>
      </c>
      <c r="R45" s="11"/>
      <c r="S45" s="12" t="s">
        <v>35</v>
      </c>
      <c r="T45" s="110">
        <f t="shared" ref="T45" si="145">L45</f>
        <v>3</v>
      </c>
      <c r="U45" s="110">
        <f t="shared" ref="U45" si="146">M45</f>
        <v>4</v>
      </c>
      <c r="V45" s="121">
        <v>17</v>
      </c>
      <c r="W45" s="119">
        <f t="shared" ref="W45" si="147">U45*T45</f>
        <v>12</v>
      </c>
      <c r="X45" s="102"/>
      <c r="Y45" s="101">
        <f t="shared" ref="Y45" si="148">IF(U45=5,1,IF(U45=4,0.8,IF(U45=3,0.6,IF(U45=2,0.4,IF(U45=1,0.2,0)))))</f>
        <v>0.8</v>
      </c>
      <c r="Z45" s="102">
        <f t="shared" ref="Z45" si="149">Y45*X45</f>
        <v>0</v>
      </c>
    </row>
    <row r="46" spans="1:26" ht="40.799999999999997" x14ac:dyDescent="0.3">
      <c r="A46" s="9">
        <v>40</v>
      </c>
      <c r="B46" s="9"/>
      <c r="C46" s="9" t="s">
        <v>197</v>
      </c>
      <c r="D46" s="1" t="s">
        <v>249</v>
      </c>
      <c r="E46" s="1" t="s">
        <v>199</v>
      </c>
      <c r="F46" s="1" t="s">
        <v>212</v>
      </c>
      <c r="G46" s="110">
        <v>5</v>
      </c>
      <c r="H46" s="110">
        <v>5</v>
      </c>
      <c r="I46" s="117">
        <v>25</v>
      </c>
      <c r="J46" s="117">
        <f t="shared" ref="J46" si="150">H46*G46</f>
        <v>25</v>
      </c>
      <c r="K46" s="13" t="s">
        <v>242</v>
      </c>
      <c r="L46" s="110">
        <f t="shared" si="51"/>
        <v>4</v>
      </c>
      <c r="M46" s="110">
        <f t="shared" si="52"/>
        <v>4</v>
      </c>
      <c r="N46" s="117">
        <v>21</v>
      </c>
      <c r="O46" s="115">
        <f t="shared" ref="O46" si="151">M46*L46</f>
        <v>16</v>
      </c>
      <c r="P46" s="13"/>
      <c r="Q46" s="10" t="s">
        <v>77</v>
      </c>
      <c r="R46" s="11"/>
      <c r="S46" s="12" t="s">
        <v>35</v>
      </c>
      <c r="T46" s="110">
        <f t="shared" ref="T46" si="152">L46</f>
        <v>4</v>
      </c>
      <c r="U46" s="110">
        <f t="shared" ref="U46" si="153">M46</f>
        <v>4</v>
      </c>
      <c r="V46" s="121">
        <v>21</v>
      </c>
      <c r="W46" s="119">
        <f t="shared" ref="W46" si="154">U46*T46</f>
        <v>16</v>
      </c>
      <c r="X46" s="102"/>
      <c r="Y46" s="101">
        <f t="shared" ref="Y46" si="155">IF(U46=5,1,IF(U46=4,0.8,IF(U46=3,0.6,IF(U46=2,0.4,IF(U46=1,0.2,0)))))</f>
        <v>0.8</v>
      </c>
      <c r="Z46" s="102">
        <f t="shared" ref="Z46" si="156">Y46*X46</f>
        <v>0</v>
      </c>
    </row>
    <row r="47" spans="1:26" x14ac:dyDescent="0.3">
      <c r="A47" s="9">
        <v>41</v>
      </c>
      <c r="B47" s="9"/>
      <c r="C47" s="9" t="s">
        <v>197</v>
      </c>
      <c r="D47" s="1" t="s">
        <v>250</v>
      </c>
      <c r="E47" s="1" t="s">
        <v>199</v>
      </c>
      <c r="F47" s="1" t="s">
        <v>251</v>
      </c>
      <c r="G47" s="110">
        <v>3</v>
      </c>
      <c r="H47" s="110">
        <v>5</v>
      </c>
      <c r="I47" s="117">
        <v>23</v>
      </c>
      <c r="J47" s="115">
        <f t="shared" ref="J47" si="157">H47*G47</f>
        <v>15</v>
      </c>
      <c r="K47" s="13" t="s">
        <v>242</v>
      </c>
      <c r="L47" s="110">
        <f t="shared" si="51"/>
        <v>2</v>
      </c>
      <c r="M47" s="110">
        <f t="shared" si="52"/>
        <v>4</v>
      </c>
      <c r="N47" s="115">
        <v>15</v>
      </c>
      <c r="O47" s="115">
        <f t="shared" ref="O47" si="158">M47*L47</f>
        <v>8</v>
      </c>
      <c r="P47" s="13"/>
      <c r="Q47" s="10" t="s">
        <v>77</v>
      </c>
      <c r="R47" s="11"/>
      <c r="S47" s="12" t="s">
        <v>35</v>
      </c>
      <c r="T47" s="110">
        <f t="shared" ref="T47" si="159">L47</f>
        <v>2</v>
      </c>
      <c r="U47" s="110">
        <f t="shared" ref="U47" si="160">M47</f>
        <v>4</v>
      </c>
      <c r="V47" s="119">
        <v>15</v>
      </c>
      <c r="W47" s="119">
        <f t="shared" ref="W47" si="161">U47*T47</f>
        <v>8</v>
      </c>
      <c r="X47" s="102"/>
      <c r="Y47" s="101">
        <f t="shared" ref="Y47" si="162">IF(U47=5,1,IF(U47=4,0.8,IF(U47=3,0.6,IF(U47=2,0.4,IF(U47=1,0.2,0)))))</f>
        <v>0.8</v>
      </c>
      <c r="Z47" s="102">
        <f t="shared" ref="Z47" si="163">Y47*X47</f>
        <v>0</v>
      </c>
    </row>
    <row r="48" spans="1:26" x14ac:dyDescent="0.3">
      <c r="A48" s="9">
        <v>42</v>
      </c>
      <c r="B48" s="9"/>
      <c r="C48" s="9" t="s">
        <v>49</v>
      </c>
      <c r="D48" s="1" t="s">
        <v>252</v>
      </c>
      <c r="E48" s="1" t="s">
        <v>253</v>
      </c>
      <c r="F48" s="1" t="s">
        <v>254</v>
      </c>
      <c r="G48" s="110">
        <v>5</v>
      </c>
      <c r="H48" s="110">
        <v>5</v>
      </c>
      <c r="I48" s="117">
        <v>25</v>
      </c>
      <c r="J48" s="117">
        <f t="shared" ref="J48" si="164">H48*G48</f>
        <v>25</v>
      </c>
      <c r="K48" s="13"/>
      <c r="L48" s="110">
        <f t="shared" si="51"/>
        <v>4</v>
      </c>
      <c r="M48" s="110">
        <f t="shared" si="52"/>
        <v>4</v>
      </c>
      <c r="N48" s="117">
        <v>21</v>
      </c>
      <c r="O48" s="115">
        <f t="shared" ref="O48" si="165">M48*L48</f>
        <v>16</v>
      </c>
      <c r="P48" s="13"/>
      <c r="Q48" s="10" t="s">
        <v>77</v>
      </c>
      <c r="R48" s="11"/>
      <c r="S48" s="12" t="s">
        <v>35</v>
      </c>
      <c r="T48" s="110">
        <f t="shared" ref="T48" si="166">L48</f>
        <v>4</v>
      </c>
      <c r="U48" s="110">
        <f t="shared" ref="U48" si="167">M48</f>
        <v>4</v>
      </c>
      <c r="V48" s="121">
        <v>21</v>
      </c>
      <c r="W48" s="119">
        <f t="shared" ref="W48" si="168">U48*T48</f>
        <v>16</v>
      </c>
      <c r="X48" s="102"/>
      <c r="Y48" s="101">
        <f t="shared" ref="Y48" si="169">IF(U48=5,1,IF(U48=4,0.8,IF(U48=3,0.6,IF(U48=2,0.4,IF(U48=1,0.2,0)))))</f>
        <v>0.8</v>
      </c>
      <c r="Z48" s="102">
        <f t="shared" ref="Z48" si="170">Y48*X48</f>
        <v>0</v>
      </c>
    </row>
    <row r="49" spans="1:26" ht="40.799999999999997" x14ac:dyDescent="0.3">
      <c r="A49" s="9">
        <v>43</v>
      </c>
      <c r="B49" s="9"/>
      <c r="C49" s="9" t="s">
        <v>49</v>
      </c>
      <c r="D49" s="1" t="s">
        <v>255</v>
      </c>
      <c r="E49" s="1" t="s">
        <v>256</v>
      </c>
      <c r="F49" s="1" t="s">
        <v>257</v>
      </c>
      <c r="G49" s="110">
        <v>4</v>
      </c>
      <c r="H49" s="110">
        <v>5</v>
      </c>
      <c r="I49" s="117">
        <v>24</v>
      </c>
      <c r="J49" s="117">
        <f t="shared" ref="J49" si="171">H49*G49</f>
        <v>20</v>
      </c>
      <c r="K49" s="13"/>
      <c r="L49" s="110">
        <f t="shared" si="51"/>
        <v>3</v>
      </c>
      <c r="M49" s="110">
        <f t="shared" si="52"/>
        <v>4</v>
      </c>
      <c r="N49" s="117">
        <v>17</v>
      </c>
      <c r="O49" s="115">
        <f t="shared" ref="O49" si="172">M49*L49</f>
        <v>12</v>
      </c>
      <c r="P49" s="13"/>
      <c r="Q49" s="10" t="s">
        <v>77</v>
      </c>
      <c r="R49" s="11"/>
      <c r="S49" s="12" t="s">
        <v>35</v>
      </c>
      <c r="T49" s="110">
        <f t="shared" ref="T49" si="173">L49</f>
        <v>3</v>
      </c>
      <c r="U49" s="110">
        <f t="shared" ref="U49" si="174">M49</f>
        <v>4</v>
      </c>
      <c r="V49" s="121">
        <v>17</v>
      </c>
      <c r="W49" s="119">
        <f t="shared" ref="W49" si="175">U49*T49</f>
        <v>12</v>
      </c>
      <c r="X49" s="102"/>
      <c r="Y49" s="101">
        <f t="shared" ref="Y49" si="176">IF(U49=5,1,IF(U49=4,0.8,IF(U49=3,0.6,IF(U49=2,0.4,IF(U49=1,0.2,0)))))</f>
        <v>0.8</v>
      </c>
      <c r="Z49" s="102">
        <f t="shared" ref="Z49" si="177">Y49*X49</f>
        <v>0</v>
      </c>
    </row>
    <row r="50" spans="1:26" ht="61.2" x14ac:dyDescent="0.3">
      <c r="A50" s="9">
        <v>44</v>
      </c>
      <c r="B50" s="9"/>
      <c r="C50" s="9" t="s">
        <v>49</v>
      </c>
      <c r="D50" s="1" t="s">
        <v>258</v>
      </c>
      <c r="E50" s="1" t="s">
        <v>259</v>
      </c>
      <c r="F50" s="1" t="s">
        <v>260</v>
      </c>
      <c r="G50" s="110">
        <v>5</v>
      </c>
      <c r="H50" s="110">
        <v>5</v>
      </c>
      <c r="I50" s="117">
        <v>25</v>
      </c>
      <c r="J50" s="117">
        <f t="shared" ref="J50" si="178">H50*G50</f>
        <v>25</v>
      </c>
      <c r="K50" s="13"/>
      <c r="L50" s="110">
        <f t="shared" si="51"/>
        <v>4</v>
      </c>
      <c r="M50" s="110">
        <f t="shared" si="52"/>
        <v>4</v>
      </c>
      <c r="N50" s="117">
        <v>21</v>
      </c>
      <c r="O50" s="115">
        <f t="shared" ref="O50" si="179">M50*L50</f>
        <v>16</v>
      </c>
      <c r="P50" s="13"/>
      <c r="Q50" s="10" t="s">
        <v>77</v>
      </c>
      <c r="R50" s="11"/>
      <c r="S50" s="12" t="s">
        <v>35</v>
      </c>
      <c r="T50" s="110">
        <f t="shared" ref="T50" si="180">L50</f>
        <v>4</v>
      </c>
      <c r="U50" s="110">
        <f t="shared" ref="U50" si="181">M50</f>
        <v>4</v>
      </c>
      <c r="V50" s="121">
        <v>21</v>
      </c>
      <c r="W50" s="119">
        <f t="shared" ref="W50" si="182">U50*T50</f>
        <v>16</v>
      </c>
      <c r="X50" s="102"/>
      <c r="Y50" s="101">
        <f t="shared" ref="Y50" si="183">IF(U50=5,1,IF(U50=4,0.8,IF(U50=3,0.6,IF(U50=2,0.4,IF(U50=1,0.2,0)))))</f>
        <v>0.8</v>
      </c>
      <c r="Z50" s="102">
        <f t="shared" ref="Z50" si="184">Y50*X50</f>
        <v>0</v>
      </c>
    </row>
    <row r="51" spans="1:26" x14ac:dyDescent="0.3">
      <c r="A51" s="9">
        <v>45</v>
      </c>
      <c r="B51" s="9"/>
      <c r="C51" s="9" t="s">
        <v>49</v>
      </c>
      <c r="D51" s="1" t="s">
        <v>261</v>
      </c>
      <c r="E51" s="1" t="s">
        <v>262</v>
      </c>
      <c r="F51" s="1" t="s">
        <v>257</v>
      </c>
      <c r="G51" s="110">
        <v>4</v>
      </c>
      <c r="H51" s="110">
        <v>4</v>
      </c>
      <c r="I51" s="117">
        <v>21</v>
      </c>
      <c r="J51" s="115">
        <f t="shared" ref="J51" si="185">H51*G51</f>
        <v>16</v>
      </c>
      <c r="K51" s="13"/>
      <c r="L51" s="110">
        <f t="shared" si="51"/>
        <v>3</v>
      </c>
      <c r="M51" s="110">
        <f t="shared" si="52"/>
        <v>3</v>
      </c>
      <c r="N51" s="115">
        <v>12</v>
      </c>
      <c r="O51" s="115">
        <f t="shared" ref="O51" si="186">M51*L51</f>
        <v>9</v>
      </c>
      <c r="P51" s="13"/>
      <c r="Q51" s="10" t="s">
        <v>77</v>
      </c>
      <c r="R51" s="11"/>
      <c r="S51" s="12" t="s">
        <v>35</v>
      </c>
      <c r="T51" s="110">
        <f t="shared" ref="T51" si="187">L51</f>
        <v>3</v>
      </c>
      <c r="U51" s="110">
        <f t="shared" ref="U51" si="188">M51</f>
        <v>3</v>
      </c>
      <c r="V51" s="119">
        <v>12</v>
      </c>
      <c r="W51" s="119">
        <f t="shared" ref="W51" si="189">U51*T51</f>
        <v>9</v>
      </c>
      <c r="X51" s="102"/>
      <c r="Y51" s="101">
        <f t="shared" ref="Y51" si="190">IF(U51=5,1,IF(U51=4,0.8,IF(U51=3,0.6,IF(U51=2,0.4,IF(U51=1,0.2,0)))))</f>
        <v>0.6</v>
      </c>
      <c r="Z51" s="102">
        <f t="shared" ref="Z51" si="191">Y51*X51</f>
        <v>0</v>
      </c>
    </row>
    <row r="52" spans="1:26" x14ac:dyDescent="0.3">
      <c r="A52" s="9">
        <v>46</v>
      </c>
      <c r="B52" s="9"/>
      <c r="C52" s="9" t="s">
        <v>49</v>
      </c>
      <c r="D52" s="1" t="s">
        <v>263</v>
      </c>
      <c r="E52" s="1" t="s">
        <v>262</v>
      </c>
      <c r="F52" s="1" t="s">
        <v>257</v>
      </c>
      <c r="G52" s="110">
        <v>4</v>
      </c>
      <c r="H52" s="110">
        <v>4</v>
      </c>
      <c r="I52" s="117">
        <v>21</v>
      </c>
      <c r="J52" s="115">
        <f t="shared" ref="J52" si="192">H52*G52</f>
        <v>16</v>
      </c>
      <c r="K52" s="13"/>
      <c r="L52" s="110">
        <f t="shared" si="51"/>
        <v>3</v>
      </c>
      <c r="M52" s="110">
        <f t="shared" si="52"/>
        <v>3</v>
      </c>
      <c r="N52" s="115">
        <v>12</v>
      </c>
      <c r="O52" s="115">
        <f t="shared" ref="O52" si="193">M52*L52</f>
        <v>9</v>
      </c>
      <c r="P52" s="13"/>
      <c r="Q52" s="10" t="s">
        <v>77</v>
      </c>
      <c r="R52" s="11"/>
      <c r="S52" s="12" t="s">
        <v>35</v>
      </c>
      <c r="T52" s="110">
        <f t="shared" ref="T52" si="194">L52</f>
        <v>3</v>
      </c>
      <c r="U52" s="110">
        <f t="shared" ref="U52" si="195">M52</f>
        <v>3</v>
      </c>
      <c r="V52" s="119">
        <v>12</v>
      </c>
      <c r="W52" s="119">
        <f t="shared" ref="W52" si="196">U52*T52</f>
        <v>9</v>
      </c>
      <c r="X52" s="102"/>
      <c r="Y52" s="101">
        <f t="shared" ref="Y52" si="197">IF(U52=5,1,IF(U52=4,0.8,IF(U52=3,0.6,IF(U52=2,0.4,IF(U52=1,0.2,0)))))</f>
        <v>0.6</v>
      </c>
      <c r="Z52" s="102">
        <f t="shared" ref="Z52" si="198">Y52*X52</f>
        <v>0</v>
      </c>
    </row>
    <row r="53" spans="1:26" x14ac:dyDescent="0.3">
      <c r="A53" s="9">
        <v>47</v>
      </c>
      <c r="B53" s="9"/>
      <c r="C53" s="9" t="s">
        <v>49</v>
      </c>
      <c r="D53" s="1" t="s">
        <v>263</v>
      </c>
      <c r="E53" s="1" t="s">
        <v>262</v>
      </c>
      <c r="F53" s="1" t="s">
        <v>257</v>
      </c>
      <c r="G53" s="110">
        <v>4</v>
      </c>
      <c r="H53" s="110">
        <v>4</v>
      </c>
      <c r="I53" s="117">
        <v>21</v>
      </c>
      <c r="J53" s="115">
        <f t="shared" ref="J53:J99" si="199">H53*G53</f>
        <v>16</v>
      </c>
      <c r="K53" s="13"/>
      <c r="L53" s="110">
        <f t="shared" si="51"/>
        <v>3</v>
      </c>
      <c r="M53" s="110">
        <f t="shared" si="52"/>
        <v>3</v>
      </c>
      <c r="N53" s="115">
        <v>12</v>
      </c>
      <c r="O53" s="115">
        <f t="shared" ref="O53:O99" si="200">M53*L53</f>
        <v>9</v>
      </c>
      <c r="P53" s="13"/>
      <c r="Q53" s="10" t="s">
        <v>77</v>
      </c>
      <c r="R53" s="11"/>
      <c r="S53" s="12" t="s">
        <v>35</v>
      </c>
      <c r="T53" s="110">
        <f t="shared" ref="T53:T99" si="201">L53</f>
        <v>3</v>
      </c>
      <c r="U53" s="110">
        <f t="shared" ref="U53:U99" si="202">M53</f>
        <v>3</v>
      </c>
      <c r="V53" s="119">
        <v>12</v>
      </c>
      <c r="W53" s="119">
        <f t="shared" ref="W53:W99" si="203">U53*T53</f>
        <v>9</v>
      </c>
      <c r="X53" s="102"/>
      <c r="Y53" s="101">
        <f t="shared" ref="Y53:Y99" si="204">IF(U53=5,1,IF(U53=4,0.8,IF(U53=3,0.6,IF(U53=2,0.4,IF(U53=1,0.2,0)))))</f>
        <v>0.6</v>
      </c>
      <c r="Z53" s="102">
        <f t="shared" ref="Z53:Z99" si="205">Y53*X53</f>
        <v>0</v>
      </c>
    </row>
    <row r="54" spans="1:26" ht="61.2" x14ac:dyDescent="0.3">
      <c r="A54" s="9">
        <v>48</v>
      </c>
      <c r="B54" s="9"/>
      <c r="C54" s="9" t="s">
        <v>50</v>
      </c>
      <c r="D54" s="1" t="s">
        <v>264</v>
      </c>
      <c r="E54" s="1" t="s">
        <v>265</v>
      </c>
      <c r="F54" s="1" t="s">
        <v>266</v>
      </c>
      <c r="G54" s="110">
        <v>2</v>
      </c>
      <c r="H54" s="110">
        <v>2</v>
      </c>
      <c r="I54" s="116">
        <v>5</v>
      </c>
      <c r="J54" s="116">
        <f t="shared" si="199"/>
        <v>4</v>
      </c>
      <c r="K54" s="13"/>
      <c r="L54" s="110">
        <f t="shared" si="51"/>
        <v>1</v>
      </c>
      <c r="M54" s="110">
        <f t="shared" si="52"/>
        <v>1</v>
      </c>
      <c r="N54" s="116">
        <v>1</v>
      </c>
      <c r="O54" s="116">
        <f t="shared" si="200"/>
        <v>1</v>
      </c>
      <c r="P54" s="13"/>
      <c r="Q54" s="10" t="s">
        <v>77</v>
      </c>
      <c r="R54" s="11"/>
      <c r="S54" s="12" t="s">
        <v>35</v>
      </c>
      <c r="T54" s="110">
        <f t="shared" si="201"/>
        <v>1</v>
      </c>
      <c r="U54" s="110">
        <f t="shared" si="202"/>
        <v>1</v>
      </c>
      <c r="V54" s="120">
        <v>1</v>
      </c>
      <c r="W54" s="120">
        <f t="shared" si="203"/>
        <v>1</v>
      </c>
      <c r="X54" s="102"/>
      <c r="Y54" s="101">
        <f t="shared" si="204"/>
        <v>0.2</v>
      </c>
      <c r="Z54" s="102">
        <f t="shared" si="205"/>
        <v>0</v>
      </c>
    </row>
    <row r="55" spans="1:26" ht="61.2" x14ac:dyDescent="0.3">
      <c r="A55" s="9">
        <v>49</v>
      </c>
      <c r="B55" s="9"/>
      <c r="C55" s="9" t="s">
        <v>50</v>
      </c>
      <c r="D55" s="1" t="s">
        <v>267</v>
      </c>
      <c r="E55" s="1" t="s">
        <v>268</v>
      </c>
      <c r="F55" s="1" t="s">
        <v>269</v>
      </c>
      <c r="G55" s="110">
        <v>3</v>
      </c>
      <c r="H55" s="110">
        <v>4</v>
      </c>
      <c r="I55" s="117">
        <v>17</v>
      </c>
      <c r="J55" s="115">
        <f t="shared" si="199"/>
        <v>12</v>
      </c>
      <c r="K55" s="13"/>
      <c r="L55" s="110">
        <f t="shared" si="51"/>
        <v>2</v>
      </c>
      <c r="M55" s="110">
        <f t="shared" si="52"/>
        <v>3</v>
      </c>
      <c r="N55" s="115">
        <v>11</v>
      </c>
      <c r="O55" s="116">
        <f t="shared" si="200"/>
        <v>6</v>
      </c>
      <c r="P55" s="13"/>
      <c r="Q55" s="10" t="s">
        <v>77</v>
      </c>
      <c r="R55" s="11"/>
      <c r="S55" s="12" t="s">
        <v>35</v>
      </c>
      <c r="T55" s="110">
        <f t="shared" si="201"/>
        <v>2</v>
      </c>
      <c r="U55" s="110">
        <f t="shared" si="202"/>
        <v>3</v>
      </c>
      <c r="V55" s="119">
        <v>11</v>
      </c>
      <c r="W55" s="120">
        <f t="shared" si="203"/>
        <v>6</v>
      </c>
      <c r="X55" s="102"/>
      <c r="Y55" s="101">
        <f t="shared" si="204"/>
        <v>0.6</v>
      </c>
      <c r="Z55" s="102">
        <f t="shared" si="205"/>
        <v>0</v>
      </c>
    </row>
    <row r="56" spans="1:26" ht="61.2" x14ac:dyDescent="0.3">
      <c r="A56" s="9">
        <v>50</v>
      </c>
      <c r="B56" s="9"/>
      <c r="C56" s="9" t="s">
        <v>50</v>
      </c>
      <c r="D56" s="1" t="s">
        <v>270</v>
      </c>
      <c r="E56" s="1" t="s">
        <v>271</v>
      </c>
      <c r="F56" s="1" t="s">
        <v>272</v>
      </c>
      <c r="G56" s="110">
        <v>4</v>
      </c>
      <c r="H56" s="110">
        <v>4</v>
      </c>
      <c r="I56" s="117">
        <v>21</v>
      </c>
      <c r="J56" s="115">
        <f t="shared" si="199"/>
        <v>16</v>
      </c>
      <c r="K56" s="13"/>
      <c r="L56" s="110">
        <f t="shared" si="51"/>
        <v>3</v>
      </c>
      <c r="M56" s="110">
        <f t="shared" si="52"/>
        <v>3</v>
      </c>
      <c r="N56" s="115">
        <v>12</v>
      </c>
      <c r="O56" s="115">
        <f t="shared" si="200"/>
        <v>9</v>
      </c>
      <c r="P56" s="13"/>
      <c r="Q56" s="10" t="s">
        <v>77</v>
      </c>
      <c r="R56" s="11"/>
      <c r="S56" s="12" t="s">
        <v>35</v>
      </c>
      <c r="T56" s="110">
        <f t="shared" si="201"/>
        <v>3</v>
      </c>
      <c r="U56" s="110">
        <f t="shared" si="202"/>
        <v>3</v>
      </c>
      <c r="V56" s="119">
        <v>12</v>
      </c>
      <c r="W56" s="119">
        <f t="shared" si="203"/>
        <v>9</v>
      </c>
      <c r="X56" s="102"/>
      <c r="Y56" s="101">
        <f t="shared" si="204"/>
        <v>0.6</v>
      </c>
      <c r="Z56" s="102">
        <f t="shared" si="205"/>
        <v>0</v>
      </c>
    </row>
    <row r="57" spans="1:26" ht="122.4" x14ac:dyDescent="0.3">
      <c r="A57" s="9">
        <v>51</v>
      </c>
      <c r="B57" s="9"/>
      <c r="C57" s="9" t="s">
        <v>50</v>
      </c>
      <c r="D57" s="1" t="s">
        <v>318</v>
      </c>
      <c r="E57" s="1" t="s">
        <v>319</v>
      </c>
      <c r="F57" s="1" t="s">
        <v>273</v>
      </c>
      <c r="G57" s="110">
        <v>4</v>
      </c>
      <c r="H57" s="110">
        <v>4</v>
      </c>
      <c r="I57" s="117">
        <v>21</v>
      </c>
      <c r="J57" s="115">
        <f t="shared" si="199"/>
        <v>16</v>
      </c>
      <c r="K57" s="13"/>
      <c r="L57" s="110">
        <f t="shared" si="51"/>
        <v>3</v>
      </c>
      <c r="M57" s="110">
        <f t="shared" si="52"/>
        <v>3</v>
      </c>
      <c r="N57" s="115">
        <v>12</v>
      </c>
      <c r="O57" s="115">
        <f t="shared" si="200"/>
        <v>9</v>
      </c>
      <c r="P57" s="13"/>
      <c r="Q57" s="10" t="s">
        <v>77</v>
      </c>
      <c r="R57" s="11"/>
      <c r="S57" s="12" t="s">
        <v>35</v>
      </c>
      <c r="T57" s="110">
        <f t="shared" si="201"/>
        <v>3</v>
      </c>
      <c r="U57" s="110">
        <f t="shared" si="202"/>
        <v>3</v>
      </c>
      <c r="V57" s="119">
        <v>12</v>
      </c>
      <c r="W57" s="119">
        <f t="shared" si="203"/>
        <v>9</v>
      </c>
      <c r="X57" s="102"/>
      <c r="Y57" s="101">
        <f t="shared" si="204"/>
        <v>0.6</v>
      </c>
      <c r="Z57" s="102">
        <f t="shared" si="205"/>
        <v>0</v>
      </c>
    </row>
    <row r="58" spans="1:26" ht="81.599999999999994" x14ac:dyDescent="0.3">
      <c r="A58" s="9">
        <v>52</v>
      </c>
      <c r="B58" s="9"/>
      <c r="C58" s="9" t="s">
        <v>50</v>
      </c>
      <c r="D58" s="1" t="s">
        <v>274</v>
      </c>
      <c r="E58" s="1" t="s">
        <v>265</v>
      </c>
      <c r="F58" s="1" t="s">
        <v>275</v>
      </c>
      <c r="G58" s="110">
        <v>3</v>
      </c>
      <c r="H58" s="110">
        <v>4</v>
      </c>
      <c r="I58" s="117">
        <v>17</v>
      </c>
      <c r="J58" s="115">
        <f t="shared" si="199"/>
        <v>12</v>
      </c>
      <c r="K58" s="13"/>
      <c r="L58" s="110">
        <f t="shared" si="51"/>
        <v>2</v>
      </c>
      <c r="M58" s="110">
        <f t="shared" si="52"/>
        <v>3</v>
      </c>
      <c r="N58" s="115">
        <v>11</v>
      </c>
      <c r="O58" s="116">
        <f t="shared" si="200"/>
        <v>6</v>
      </c>
      <c r="P58" s="13"/>
      <c r="Q58" s="10" t="s">
        <v>77</v>
      </c>
      <c r="R58" s="11"/>
      <c r="S58" s="12" t="s">
        <v>35</v>
      </c>
      <c r="T58" s="110">
        <f t="shared" si="201"/>
        <v>2</v>
      </c>
      <c r="U58" s="110">
        <f t="shared" si="202"/>
        <v>3</v>
      </c>
      <c r="V58" s="119">
        <v>11</v>
      </c>
      <c r="W58" s="120">
        <f t="shared" si="203"/>
        <v>6</v>
      </c>
      <c r="X58" s="102"/>
      <c r="Y58" s="101">
        <f t="shared" si="204"/>
        <v>0.6</v>
      </c>
      <c r="Z58" s="102">
        <f t="shared" si="205"/>
        <v>0</v>
      </c>
    </row>
    <row r="59" spans="1:26" ht="61.2" x14ac:dyDescent="0.3">
      <c r="A59" s="9">
        <v>53</v>
      </c>
      <c r="B59" s="9"/>
      <c r="C59" s="9" t="s">
        <v>50</v>
      </c>
      <c r="D59" s="1" t="s">
        <v>276</v>
      </c>
      <c r="E59" s="1" t="s">
        <v>265</v>
      </c>
      <c r="F59" s="1" t="s">
        <v>277</v>
      </c>
      <c r="G59" s="110">
        <v>2</v>
      </c>
      <c r="H59" s="110">
        <v>4</v>
      </c>
      <c r="I59" s="115">
        <v>15</v>
      </c>
      <c r="J59" s="115">
        <f t="shared" si="199"/>
        <v>8</v>
      </c>
      <c r="K59" s="13"/>
      <c r="L59" s="110">
        <f t="shared" si="51"/>
        <v>1</v>
      </c>
      <c r="M59" s="110">
        <f t="shared" si="52"/>
        <v>3</v>
      </c>
      <c r="N59" s="116">
        <v>10</v>
      </c>
      <c r="O59" s="116">
        <f t="shared" si="200"/>
        <v>3</v>
      </c>
      <c r="P59" s="13"/>
      <c r="Q59" s="10" t="s">
        <v>77</v>
      </c>
      <c r="R59" s="11"/>
      <c r="S59" s="12" t="s">
        <v>35</v>
      </c>
      <c r="T59" s="110">
        <f t="shared" si="201"/>
        <v>1</v>
      </c>
      <c r="U59" s="110">
        <f t="shared" si="202"/>
        <v>3</v>
      </c>
      <c r="V59" s="120">
        <v>10</v>
      </c>
      <c r="W59" s="120">
        <f t="shared" si="203"/>
        <v>3</v>
      </c>
      <c r="X59" s="102"/>
      <c r="Y59" s="101">
        <f t="shared" si="204"/>
        <v>0.6</v>
      </c>
      <c r="Z59" s="102">
        <f t="shared" si="205"/>
        <v>0</v>
      </c>
    </row>
    <row r="60" spans="1:26" ht="40.799999999999997" x14ac:dyDescent="0.3">
      <c r="A60" s="9">
        <v>54</v>
      </c>
      <c r="B60" s="9"/>
      <c r="C60" s="9" t="s">
        <v>50</v>
      </c>
      <c r="D60" s="1" t="s">
        <v>278</v>
      </c>
      <c r="E60" s="1" t="s">
        <v>265</v>
      </c>
      <c r="F60" s="1" t="s">
        <v>279</v>
      </c>
      <c r="G60" s="110">
        <v>2</v>
      </c>
      <c r="H60" s="110">
        <v>2</v>
      </c>
      <c r="I60" s="116">
        <v>5</v>
      </c>
      <c r="J60" s="116">
        <f t="shared" si="199"/>
        <v>4</v>
      </c>
      <c r="K60" s="13"/>
      <c r="L60" s="110">
        <f t="shared" si="51"/>
        <v>1</v>
      </c>
      <c r="M60" s="110">
        <f t="shared" si="52"/>
        <v>1</v>
      </c>
      <c r="N60" s="116">
        <v>1</v>
      </c>
      <c r="O60" s="116">
        <f t="shared" si="200"/>
        <v>1</v>
      </c>
      <c r="P60" s="13"/>
      <c r="Q60" s="10" t="s">
        <v>77</v>
      </c>
      <c r="R60" s="11"/>
      <c r="S60" s="12" t="s">
        <v>35</v>
      </c>
      <c r="T60" s="110">
        <f t="shared" si="201"/>
        <v>1</v>
      </c>
      <c r="U60" s="110">
        <f t="shared" si="202"/>
        <v>1</v>
      </c>
      <c r="V60" s="120">
        <v>1</v>
      </c>
      <c r="W60" s="120">
        <f t="shared" si="203"/>
        <v>1</v>
      </c>
      <c r="X60" s="102"/>
      <c r="Y60" s="101">
        <f t="shared" si="204"/>
        <v>0.2</v>
      </c>
      <c r="Z60" s="102">
        <f t="shared" si="205"/>
        <v>0</v>
      </c>
    </row>
    <row r="61" spans="1:26" ht="40.799999999999997" x14ac:dyDescent="0.3">
      <c r="A61" s="9">
        <v>55</v>
      </c>
      <c r="B61" s="9"/>
      <c r="C61" s="9" t="s">
        <v>50</v>
      </c>
      <c r="D61" s="1" t="s">
        <v>280</v>
      </c>
      <c r="E61" s="1" t="s">
        <v>199</v>
      </c>
      <c r="F61" s="1" t="s">
        <v>281</v>
      </c>
      <c r="G61" s="110">
        <v>2</v>
      </c>
      <c r="H61" s="110">
        <v>1</v>
      </c>
      <c r="I61" s="116">
        <v>2</v>
      </c>
      <c r="J61" s="116">
        <f t="shared" si="199"/>
        <v>2</v>
      </c>
      <c r="K61" s="13"/>
      <c r="L61" s="110">
        <f t="shared" si="51"/>
        <v>1</v>
      </c>
      <c r="M61" s="110">
        <f t="shared" si="52"/>
        <v>0</v>
      </c>
      <c r="N61" s="117">
        <v>25</v>
      </c>
      <c r="O61" s="117">
        <f t="shared" si="200"/>
        <v>0</v>
      </c>
      <c r="P61" s="13"/>
      <c r="Q61" s="10" t="s">
        <v>77</v>
      </c>
      <c r="R61" s="11"/>
      <c r="S61" s="12" t="s">
        <v>35</v>
      </c>
      <c r="T61" s="110">
        <f t="shared" si="201"/>
        <v>1</v>
      </c>
      <c r="U61" s="110">
        <f t="shared" si="202"/>
        <v>0</v>
      </c>
      <c r="V61" s="121">
        <v>25</v>
      </c>
      <c r="W61" s="121">
        <f t="shared" si="203"/>
        <v>0</v>
      </c>
      <c r="X61" s="102"/>
      <c r="Y61" s="101">
        <f t="shared" si="204"/>
        <v>0</v>
      </c>
      <c r="Z61" s="102">
        <f t="shared" si="205"/>
        <v>0</v>
      </c>
    </row>
    <row r="62" spans="1:26" ht="61.2" x14ac:dyDescent="0.3">
      <c r="A62" s="9">
        <v>56</v>
      </c>
      <c r="B62" s="9"/>
      <c r="C62" s="9" t="s">
        <v>50</v>
      </c>
      <c r="D62" s="1" t="s">
        <v>282</v>
      </c>
      <c r="E62" s="1" t="s">
        <v>265</v>
      </c>
      <c r="F62" s="1" t="s">
        <v>283</v>
      </c>
      <c r="G62" s="110">
        <v>1</v>
      </c>
      <c r="H62" s="110">
        <v>3</v>
      </c>
      <c r="I62" s="116">
        <v>10</v>
      </c>
      <c r="J62" s="116">
        <f t="shared" si="199"/>
        <v>3</v>
      </c>
      <c r="K62" s="13"/>
      <c r="L62" s="110">
        <f t="shared" si="51"/>
        <v>0</v>
      </c>
      <c r="M62" s="110">
        <f t="shared" si="52"/>
        <v>2</v>
      </c>
      <c r="N62" s="117">
        <v>25</v>
      </c>
      <c r="O62" s="117">
        <f t="shared" si="200"/>
        <v>0</v>
      </c>
      <c r="P62" s="13"/>
      <c r="Q62" s="10" t="s">
        <v>77</v>
      </c>
      <c r="R62" s="11"/>
      <c r="S62" s="12" t="s">
        <v>35</v>
      </c>
      <c r="T62" s="110">
        <f t="shared" si="201"/>
        <v>0</v>
      </c>
      <c r="U62" s="110">
        <f t="shared" si="202"/>
        <v>2</v>
      </c>
      <c r="V62" s="121">
        <v>25</v>
      </c>
      <c r="W62" s="121">
        <f t="shared" si="203"/>
        <v>0</v>
      </c>
      <c r="X62" s="102"/>
      <c r="Y62" s="101">
        <f t="shared" si="204"/>
        <v>0.4</v>
      </c>
      <c r="Z62" s="102">
        <f t="shared" si="205"/>
        <v>0</v>
      </c>
    </row>
    <row r="63" spans="1:26" ht="40.799999999999997" x14ac:dyDescent="0.3">
      <c r="A63" s="9">
        <v>57</v>
      </c>
      <c r="B63" s="9"/>
      <c r="C63" s="9" t="s">
        <v>50</v>
      </c>
      <c r="D63" s="1" t="s">
        <v>284</v>
      </c>
      <c r="E63" s="1" t="s">
        <v>265</v>
      </c>
      <c r="F63" s="1" t="s">
        <v>285</v>
      </c>
      <c r="G63" s="110">
        <v>4</v>
      </c>
      <c r="H63" s="110">
        <v>3</v>
      </c>
      <c r="I63" s="115">
        <v>16</v>
      </c>
      <c r="J63" s="115">
        <f t="shared" si="199"/>
        <v>12</v>
      </c>
      <c r="K63" s="13"/>
      <c r="L63" s="110">
        <f t="shared" si="51"/>
        <v>3</v>
      </c>
      <c r="M63" s="110">
        <f t="shared" si="52"/>
        <v>2</v>
      </c>
      <c r="N63" s="116">
        <v>6</v>
      </c>
      <c r="O63" s="116">
        <f t="shared" si="200"/>
        <v>6</v>
      </c>
      <c r="P63" s="13"/>
      <c r="Q63" s="10" t="s">
        <v>77</v>
      </c>
      <c r="R63" s="11"/>
      <c r="S63" s="12" t="s">
        <v>35</v>
      </c>
      <c r="T63" s="110">
        <f t="shared" si="201"/>
        <v>3</v>
      </c>
      <c r="U63" s="110">
        <f t="shared" si="202"/>
        <v>2</v>
      </c>
      <c r="V63" s="120">
        <v>6</v>
      </c>
      <c r="W63" s="120">
        <f t="shared" si="203"/>
        <v>6</v>
      </c>
      <c r="X63" s="102"/>
      <c r="Y63" s="101">
        <f t="shared" si="204"/>
        <v>0.4</v>
      </c>
      <c r="Z63" s="102">
        <f t="shared" si="205"/>
        <v>0</v>
      </c>
    </row>
    <row r="64" spans="1:26" ht="81.599999999999994" x14ac:dyDescent="0.3">
      <c r="A64" s="9">
        <v>58</v>
      </c>
      <c r="B64" s="9"/>
      <c r="C64" s="9" t="s">
        <v>50</v>
      </c>
      <c r="D64" s="1" t="s">
        <v>286</v>
      </c>
      <c r="E64" s="1" t="s">
        <v>265</v>
      </c>
      <c r="F64" s="1" t="s">
        <v>287</v>
      </c>
      <c r="G64" s="110">
        <v>2</v>
      </c>
      <c r="H64" s="110">
        <v>4</v>
      </c>
      <c r="I64" s="115">
        <v>15</v>
      </c>
      <c r="J64" s="115">
        <f t="shared" si="199"/>
        <v>8</v>
      </c>
      <c r="K64" s="13"/>
      <c r="L64" s="110">
        <f t="shared" ref="L64:L95" si="206">G64-1</f>
        <v>1</v>
      </c>
      <c r="M64" s="110">
        <f t="shared" ref="M64:M95" si="207">H64-1</f>
        <v>3</v>
      </c>
      <c r="N64" s="116">
        <v>10</v>
      </c>
      <c r="O64" s="116">
        <f t="shared" si="200"/>
        <v>3</v>
      </c>
      <c r="P64" s="13"/>
      <c r="Q64" s="10" t="s">
        <v>77</v>
      </c>
      <c r="R64" s="11"/>
      <c r="S64" s="12" t="s">
        <v>35</v>
      </c>
      <c r="T64" s="110">
        <f t="shared" si="201"/>
        <v>1</v>
      </c>
      <c r="U64" s="110">
        <f t="shared" si="202"/>
        <v>3</v>
      </c>
      <c r="V64" s="120">
        <v>10</v>
      </c>
      <c r="W64" s="120">
        <f t="shared" si="203"/>
        <v>3</v>
      </c>
      <c r="X64" s="102"/>
      <c r="Y64" s="101">
        <f t="shared" si="204"/>
        <v>0.6</v>
      </c>
      <c r="Z64" s="102">
        <f t="shared" si="205"/>
        <v>0</v>
      </c>
    </row>
    <row r="65" spans="1:26" ht="61.2" x14ac:dyDescent="0.3">
      <c r="A65" s="9">
        <v>59</v>
      </c>
      <c r="B65" s="9"/>
      <c r="C65" s="9" t="s">
        <v>50</v>
      </c>
      <c r="D65" s="1" t="s">
        <v>288</v>
      </c>
      <c r="E65" s="1" t="s">
        <v>265</v>
      </c>
      <c r="F65" s="1" t="s">
        <v>289</v>
      </c>
      <c r="G65" s="110">
        <v>4</v>
      </c>
      <c r="H65" s="110">
        <v>4</v>
      </c>
      <c r="I65" s="117">
        <v>21</v>
      </c>
      <c r="J65" s="115">
        <f t="shared" si="199"/>
        <v>16</v>
      </c>
      <c r="K65" s="13"/>
      <c r="L65" s="110">
        <f t="shared" si="206"/>
        <v>3</v>
      </c>
      <c r="M65" s="110">
        <f t="shared" si="207"/>
        <v>3</v>
      </c>
      <c r="N65" s="115">
        <v>12</v>
      </c>
      <c r="O65" s="115">
        <f t="shared" si="200"/>
        <v>9</v>
      </c>
      <c r="P65" s="13"/>
      <c r="Q65" s="10" t="s">
        <v>77</v>
      </c>
      <c r="R65" s="11"/>
      <c r="S65" s="12" t="s">
        <v>35</v>
      </c>
      <c r="T65" s="110">
        <f t="shared" si="201"/>
        <v>3</v>
      </c>
      <c r="U65" s="110">
        <f t="shared" si="202"/>
        <v>3</v>
      </c>
      <c r="V65" s="119">
        <v>12</v>
      </c>
      <c r="W65" s="119">
        <f t="shared" si="203"/>
        <v>9</v>
      </c>
      <c r="X65" s="102"/>
      <c r="Y65" s="101">
        <f t="shared" si="204"/>
        <v>0.6</v>
      </c>
      <c r="Z65" s="102">
        <f t="shared" si="205"/>
        <v>0</v>
      </c>
    </row>
    <row r="66" spans="1:26" ht="40.799999999999997" x14ac:dyDescent="0.3">
      <c r="A66" s="9">
        <v>60</v>
      </c>
      <c r="B66" s="9"/>
      <c r="C66" s="9" t="s">
        <v>50</v>
      </c>
      <c r="D66" s="1" t="s">
        <v>290</v>
      </c>
      <c r="E66" s="1" t="s">
        <v>265</v>
      </c>
      <c r="F66" s="1" t="s">
        <v>291</v>
      </c>
      <c r="G66" s="110">
        <v>2</v>
      </c>
      <c r="H66" s="110">
        <v>3</v>
      </c>
      <c r="I66" s="115">
        <v>11</v>
      </c>
      <c r="J66" s="116">
        <f t="shared" si="199"/>
        <v>6</v>
      </c>
      <c r="K66" s="13"/>
      <c r="L66" s="110">
        <f t="shared" si="206"/>
        <v>1</v>
      </c>
      <c r="M66" s="110">
        <f t="shared" si="207"/>
        <v>2</v>
      </c>
      <c r="N66" s="116">
        <v>3</v>
      </c>
      <c r="O66" s="116">
        <f t="shared" si="200"/>
        <v>2</v>
      </c>
      <c r="P66" s="13"/>
      <c r="Q66" s="10" t="s">
        <v>77</v>
      </c>
      <c r="R66" s="11"/>
      <c r="S66" s="12" t="s">
        <v>35</v>
      </c>
      <c r="T66" s="110">
        <f t="shared" si="201"/>
        <v>1</v>
      </c>
      <c r="U66" s="110">
        <f t="shared" si="202"/>
        <v>2</v>
      </c>
      <c r="V66" s="120">
        <v>3</v>
      </c>
      <c r="W66" s="120">
        <f t="shared" si="203"/>
        <v>2</v>
      </c>
      <c r="X66" s="102"/>
      <c r="Y66" s="101">
        <f t="shared" si="204"/>
        <v>0.4</v>
      </c>
      <c r="Z66" s="102">
        <f t="shared" si="205"/>
        <v>0</v>
      </c>
    </row>
    <row r="67" spans="1:26" ht="40.799999999999997" x14ac:dyDescent="0.3">
      <c r="A67" s="9">
        <v>61</v>
      </c>
      <c r="B67" s="9"/>
      <c r="C67" s="9" t="s">
        <v>50</v>
      </c>
      <c r="D67" s="1" t="s">
        <v>292</v>
      </c>
      <c r="E67" s="1" t="s">
        <v>265</v>
      </c>
      <c r="F67" s="1" t="s">
        <v>293</v>
      </c>
      <c r="G67" s="110">
        <v>1</v>
      </c>
      <c r="H67" s="110">
        <v>1</v>
      </c>
      <c r="I67" s="116">
        <v>1</v>
      </c>
      <c r="J67" s="116">
        <f t="shared" si="199"/>
        <v>1</v>
      </c>
      <c r="K67" s="13"/>
      <c r="L67" s="110">
        <f t="shared" si="206"/>
        <v>0</v>
      </c>
      <c r="M67" s="110">
        <f t="shared" si="207"/>
        <v>0</v>
      </c>
      <c r="N67" s="117">
        <v>25</v>
      </c>
      <c r="O67" s="117">
        <f t="shared" si="200"/>
        <v>0</v>
      </c>
      <c r="P67" s="13"/>
      <c r="Q67" s="10" t="s">
        <v>77</v>
      </c>
      <c r="R67" s="11"/>
      <c r="S67" s="12" t="s">
        <v>35</v>
      </c>
      <c r="T67" s="110">
        <f t="shared" si="201"/>
        <v>0</v>
      </c>
      <c r="U67" s="110">
        <f t="shared" si="202"/>
        <v>0</v>
      </c>
      <c r="V67" s="121">
        <v>25</v>
      </c>
      <c r="W67" s="121">
        <f t="shared" si="203"/>
        <v>0</v>
      </c>
      <c r="X67" s="102"/>
      <c r="Y67" s="101">
        <f t="shared" si="204"/>
        <v>0</v>
      </c>
      <c r="Z67" s="102">
        <f t="shared" si="205"/>
        <v>0</v>
      </c>
    </row>
    <row r="68" spans="1:26" x14ac:dyDescent="0.3">
      <c r="A68" s="9">
        <v>62</v>
      </c>
      <c r="B68" s="9"/>
      <c r="C68" s="9" t="s">
        <v>50</v>
      </c>
      <c r="D68" s="1" t="s">
        <v>294</v>
      </c>
      <c r="E68" s="1" t="s">
        <v>265</v>
      </c>
      <c r="F68" s="1" t="s">
        <v>295</v>
      </c>
      <c r="G68" s="110">
        <v>4</v>
      </c>
      <c r="H68" s="110">
        <v>4</v>
      </c>
      <c r="I68" s="117">
        <v>21</v>
      </c>
      <c r="J68" s="115">
        <f t="shared" si="199"/>
        <v>16</v>
      </c>
      <c r="K68" s="13"/>
      <c r="L68" s="110">
        <f t="shared" si="206"/>
        <v>3</v>
      </c>
      <c r="M68" s="110">
        <f t="shared" si="207"/>
        <v>3</v>
      </c>
      <c r="N68" s="115">
        <v>12</v>
      </c>
      <c r="O68" s="115">
        <f t="shared" si="200"/>
        <v>9</v>
      </c>
      <c r="P68" s="13"/>
      <c r="Q68" s="10" t="s">
        <v>77</v>
      </c>
      <c r="R68" s="11"/>
      <c r="S68" s="12" t="s">
        <v>35</v>
      </c>
      <c r="T68" s="110">
        <f t="shared" si="201"/>
        <v>3</v>
      </c>
      <c r="U68" s="110">
        <f t="shared" si="202"/>
        <v>3</v>
      </c>
      <c r="V68" s="119">
        <v>12</v>
      </c>
      <c r="W68" s="119">
        <f t="shared" si="203"/>
        <v>9</v>
      </c>
      <c r="X68" s="102"/>
      <c r="Y68" s="101">
        <f t="shared" si="204"/>
        <v>0.6</v>
      </c>
      <c r="Z68" s="102">
        <f t="shared" si="205"/>
        <v>0</v>
      </c>
    </row>
    <row r="69" spans="1:26" ht="40.799999999999997" x14ac:dyDescent="0.3">
      <c r="A69" s="9">
        <v>63</v>
      </c>
      <c r="B69" s="9"/>
      <c r="C69" s="9" t="s">
        <v>50</v>
      </c>
      <c r="D69" s="1" t="s">
        <v>320</v>
      </c>
      <c r="E69" s="1" t="s">
        <v>265</v>
      </c>
      <c r="F69" s="1" t="s">
        <v>296</v>
      </c>
      <c r="G69" s="110">
        <v>1</v>
      </c>
      <c r="H69" s="110">
        <v>3</v>
      </c>
      <c r="I69" s="116">
        <v>10</v>
      </c>
      <c r="J69" s="116">
        <f t="shared" si="199"/>
        <v>3</v>
      </c>
      <c r="K69" s="13"/>
      <c r="L69" s="110">
        <f t="shared" si="206"/>
        <v>0</v>
      </c>
      <c r="M69" s="110">
        <f t="shared" si="207"/>
        <v>2</v>
      </c>
      <c r="N69" s="117">
        <v>25</v>
      </c>
      <c r="O69" s="117">
        <f t="shared" si="200"/>
        <v>0</v>
      </c>
      <c r="P69" s="13"/>
      <c r="Q69" s="10" t="s">
        <v>77</v>
      </c>
      <c r="R69" s="11"/>
      <c r="S69" s="12" t="s">
        <v>35</v>
      </c>
      <c r="T69" s="110">
        <f t="shared" si="201"/>
        <v>0</v>
      </c>
      <c r="U69" s="110">
        <f t="shared" si="202"/>
        <v>2</v>
      </c>
      <c r="V69" s="121">
        <v>25</v>
      </c>
      <c r="W69" s="121">
        <f t="shared" si="203"/>
        <v>0</v>
      </c>
      <c r="X69" s="102"/>
      <c r="Y69" s="101">
        <f t="shared" si="204"/>
        <v>0.4</v>
      </c>
      <c r="Z69" s="102">
        <f t="shared" si="205"/>
        <v>0</v>
      </c>
    </row>
    <row r="70" spans="1:26" ht="40.799999999999997" x14ac:dyDescent="0.3">
      <c r="A70" s="9">
        <v>64</v>
      </c>
      <c r="B70" s="9"/>
      <c r="C70" s="9" t="s">
        <v>50</v>
      </c>
      <c r="D70" s="1" t="s">
        <v>297</v>
      </c>
      <c r="E70" s="1" t="s">
        <v>265</v>
      </c>
      <c r="F70" s="1" t="s">
        <v>298</v>
      </c>
      <c r="G70" s="110">
        <v>4</v>
      </c>
      <c r="H70" s="110">
        <v>4</v>
      </c>
      <c r="I70" s="117">
        <v>21</v>
      </c>
      <c r="J70" s="115">
        <f t="shared" ref="J70:J85" si="208">H70*G70</f>
        <v>16</v>
      </c>
      <c r="K70" s="13"/>
      <c r="L70" s="110">
        <f t="shared" si="206"/>
        <v>3</v>
      </c>
      <c r="M70" s="110">
        <f t="shared" si="207"/>
        <v>3</v>
      </c>
      <c r="N70" s="115">
        <v>12</v>
      </c>
      <c r="O70" s="115">
        <f t="shared" ref="O70:O85" si="209">M70*L70</f>
        <v>9</v>
      </c>
      <c r="P70" s="13"/>
      <c r="Q70" s="10" t="s">
        <v>77</v>
      </c>
      <c r="R70" s="11"/>
      <c r="S70" s="12" t="s">
        <v>35</v>
      </c>
      <c r="T70" s="110">
        <f t="shared" ref="T70:T85" si="210">L70</f>
        <v>3</v>
      </c>
      <c r="U70" s="110">
        <f t="shared" ref="U70:U85" si="211">M70</f>
        <v>3</v>
      </c>
      <c r="V70" s="119">
        <v>12</v>
      </c>
      <c r="W70" s="119">
        <f t="shared" ref="W70:W85" si="212">U70*T70</f>
        <v>9</v>
      </c>
      <c r="X70" s="102"/>
      <c r="Y70" s="101">
        <f t="shared" ref="Y70:Y85" si="213">IF(U70=5,1,IF(U70=4,0.8,IF(U70=3,0.6,IF(U70=2,0.4,IF(U70=1,0.2,0)))))</f>
        <v>0.6</v>
      </c>
      <c r="Z70" s="102">
        <f t="shared" ref="Z70:Z85" si="214">Y70*X70</f>
        <v>0</v>
      </c>
    </row>
    <row r="71" spans="1:26" ht="40.799999999999997" x14ac:dyDescent="0.3">
      <c r="A71" s="9">
        <v>65</v>
      </c>
      <c r="B71" s="9"/>
      <c r="C71" s="9" t="s">
        <v>50</v>
      </c>
      <c r="D71" s="1" t="s">
        <v>299</v>
      </c>
      <c r="E71" s="1" t="s">
        <v>265</v>
      </c>
      <c r="F71" s="1" t="s">
        <v>300</v>
      </c>
      <c r="G71" s="110">
        <v>4</v>
      </c>
      <c r="H71" s="110">
        <v>2</v>
      </c>
      <c r="I71" s="115">
        <v>9</v>
      </c>
      <c r="J71" s="115">
        <f t="shared" si="208"/>
        <v>8</v>
      </c>
      <c r="K71" s="13"/>
      <c r="L71" s="110">
        <f t="shared" si="206"/>
        <v>3</v>
      </c>
      <c r="M71" s="110">
        <f t="shared" si="207"/>
        <v>1</v>
      </c>
      <c r="N71" s="116">
        <v>4</v>
      </c>
      <c r="O71" s="116">
        <f t="shared" si="209"/>
        <v>3</v>
      </c>
      <c r="P71" s="13"/>
      <c r="Q71" s="10" t="s">
        <v>77</v>
      </c>
      <c r="R71" s="11"/>
      <c r="S71" s="12" t="s">
        <v>35</v>
      </c>
      <c r="T71" s="110">
        <f t="shared" si="210"/>
        <v>3</v>
      </c>
      <c r="U71" s="110">
        <f t="shared" si="211"/>
        <v>1</v>
      </c>
      <c r="V71" s="120">
        <v>4</v>
      </c>
      <c r="W71" s="120">
        <f t="shared" si="212"/>
        <v>3</v>
      </c>
      <c r="X71" s="102"/>
      <c r="Y71" s="101">
        <f t="shared" si="213"/>
        <v>0.2</v>
      </c>
      <c r="Z71" s="102">
        <f t="shared" si="214"/>
        <v>0</v>
      </c>
    </row>
    <row r="72" spans="1:26" ht="40.799999999999997" x14ac:dyDescent="0.3">
      <c r="A72" s="9">
        <v>66</v>
      </c>
      <c r="B72" s="9"/>
      <c r="C72" s="9" t="s">
        <v>50</v>
      </c>
      <c r="D72" s="1" t="s">
        <v>301</v>
      </c>
      <c r="E72" s="1" t="s">
        <v>265</v>
      </c>
      <c r="F72" s="1" t="s">
        <v>302</v>
      </c>
      <c r="G72" s="110">
        <v>2</v>
      </c>
      <c r="H72" s="110">
        <v>2</v>
      </c>
      <c r="I72" s="116">
        <v>5</v>
      </c>
      <c r="J72" s="116">
        <f t="shared" si="208"/>
        <v>4</v>
      </c>
      <c r="K72" s="13"/>
      <c r="L72" s="110">
        <f t="shared" si="206"/>
        <v>1</v>
      </c>
      <c r="M72" s="110">
        <f t="shared" si="207"/>
        <v>1</v>
      </c>
      <c r="N72" s="116">
        <v>1</v>
      </c>
      <c r="O72" s="116">
        <f t="shared" si="209"/>
        <v>1</v>
      </c>
      <c r="P72" s="13"/>
      <c r="Q72" s="10" t="s">
        <v>77</v>
      </c>
      <c r="R72" s="11"/>
      <c r="S72" s="12" t="s">
        <v>35</v>
      </c>
      <c r="T72" s="110">
        <f t="shared" si="210"/>
        <v>1</v>
      </c>
      <c r="U72" s="110">
        <f t="shared" si="211"/>
        <v>1</v>
      </c>
      <c r="V72" s="120">
        <v>1</v>
      </c>
      <c r="W72" s="120">
        <f t="shared" si="212"/>
        <v>1</v>
      </c>
      <c r="X72" s="102"/>
      <c r="Y72" s="101">
        <f t="shared" si="213"/>
        <v>0.2</v>
      </c>
      <c r="Z72" s="102">
        <f t="shared" si="214"/>
        <v>0</v>
      </c>
    </row>
    <row r="73" spans="1:26" ht="61.2" x14ac:dyDescent="0.3">
      <c r="A73" s="9">
        <v>67</v>
      </c>
      <c r="B73" s="9"/>
      <c r="C73" s="9" t="s">
        <v>50</v>
      </c>
      <c r="D73" s="1" t="s">
        <v>303</v>
      </c>
      <c r="E73" s="1" t="s">
        <v>265</v>
      </c>
      <c r="F73" s="1" t="s">
        <v>304</v>
      </c>
      <c r="G73" s="110">
        <v>2</v>
      </c>
      <c r="H73" s="110">
        <v>3</v>
      </c>
      <c r="I73" s="115">
        <v>11</v>
      </c>
      <c r="J73" s="116">
        <f t="shared" si="208"/>
        <v>6</v>
      </c>
      <c r="K73" s="13"/>
      <c r="L73" s="110">
        <f t="shared" si="206"/>
        <v>1</v>
      </c>
      <c r="M73" s="110">
        <f t="shared" si="207"/>
        <v>2</v>
      </c>
      <c r="N73" s="116">
        <v>3</v>
      </c>
      <c r="O73" s="116">
        <f t="shared" si="209"/>
        <v>2</v>
      </c>
      <c r="P73" s="13"/>
      <c r="Q73" s="10" t="s">
        <v>77</v>
      </c>
      <c r="R73" s="11"/>
      <c r="S73" s="12" t="s">
        <v>35</v>
      </c>
      <c r="T73" s="110">
        <f t="shared" si="210"/>
        <v>1</v>
      </c>
      <c r="U73" s="110">
        <f t="shared" si="211"/>
        <v>2</v>
      </c>
      <c r="V73" s="120">
        <v>3</v>
      </c>
      <c r="W73" s="120">
        <f t="shared" si="212"/>
        <v>2</v>
      </c>
      <c r="X73" s="102"/>
      <c r="Y73" s="101">
        <f t="shared" si="213"/>
        <v>0.4</v>
      </c>
      <c r="Z73" s="102">
        <f t="shared" si="214"/>
        <v>0</v>
      </c>
    </row>
    <row r="74" spans="1:26" ht="40.799999999999997" x14ac:dyDescent="0.3">
      <c r="A74" s="9">
        <v>68</v>
      </c>
      <c r="B74" s="9"/>
      <c r="C74" s="9" t="s">
        <v>50</v>
      </c>
      <c r="D74" s="1" t="s">
        <v>305</v>
      </c>
      <c r="E74" s="1" t="s">
        <v>265</v>
      </c>
      <c r="F74" s="1" t="s">
        <v>306</v>
      </c>
      <c r="G74" s="110">
        <v>2</v>
      </c>
      <c r="H74" s="110">
        <v>2</v>
      </c>
      <c r="I74" s="116">
        <v>5</v>
      </c>
      <c r="J74" s="116">
        <f t="shared" si="208"/>
        <v>4</v>
      </c>
      <c r="K74" s="13"/>
      <c r="L74" s="110">
        <f t="shared" si="206"/>
        <v>1</v>
      </c>
      <c r="M74" s="110">
        <f t="shared" si="207"/>
        <v>1</v>
      </c>
      <c r="N74" s="116">
        <v>1</v>
      </c>
      <c r="O74" s="116">
        <f t="shared" si="209"/>
        <v>1</v>
      </c>
      <c r="P74" s="13"/>
      <c r="Q74" s="10" t="s">
        <v>77</v>
      </c>
      <c r="R74" s="11"/>
      <c r="S74" s="12" t="s">
        <v>35</v>
      </c>
      <c r="T74" s="110">
        <f t="shared" si="210"/>
        <v>1</v>
      </c>
      <c r="U74" s="110">
        <f t="shared" si="211"/>
        <v>1</v>
      </c>
      <c r="V74" s="120">
        <v>1</v>
      </c>
      <c r="W74" s="120">
        <f t="shared" si="212"/>
        <v>1</v>
      </c>
      <c r="X74" s="102"/>
      <c r="Y74" s="101">
        <f t="shared" si="213"/>
        <v>0.2</v>
      </c>
      <c r="Z74" s="102">
        <f t="shared" si="214"/>
        <v>0</v>
      </c>
    </row>
    <row r="75" spans="1:26" x14ac:dyDescent="0.3">
      <c r="A75" s="9">
        <v>69</v>
      </c>
      <c r="B75" s="9"/>
      <c r="C75" s="9" t="s">
        <v>50</v>
      </c>
      <c r="D75" s="1" t="s">
        <v>307</v>
      </c>
      <c r="E75" s="1" t="s">
        <v>265</v>
      </c>
      <c r="F75" s="1" t="s">
        <v>308</v>
      </c>
      <c r="G75" s="110">
        <v>1</v>
      </c>
      <c r="H75" s="110">
        <v>1</v>
      </c>
      <c r="I75" s="116">
        <v>1</v>
      </c>
      <c r="J75" s="116">
        <f t="shared" si="208"/>
        <v>1</v>
      </c>
      <c r="K75" s="13"/>
      <c r="L75" s="110">
        <f t="shared" si="206"/>
        <v>0</v>
      </c>
      <c r="M75" s="110">
        <f t="shared" si="207"/>
        <v>0</v>
      </c>
      <c r="N75" s="117">
        <v>25</v>
      </c>
      <c r="O75" s="117">
        <f t="shared" si="209"/>
        <v>0</v>
      </c>
      <c r="P75" s="13"/>
      <c r="Q75" s="10" t="s">
        <v>77</v>
      </c>
      <c r="R75" s="11"/>
      <c r="S75" s="12" t="s">
        <v>35</v>
      </c>
      <c r="T75" s="110">
        <f t="shared" si="210"/>
        <v>0</v>
      </c>
      <c r="U75" s="110">
        <f t="shared" si="211"/>
        <v>0</v>
      </c>
      <c r="V75" s="121">
        <v>25</v>
      </c>
      <c r="W75" s="121">
        <f t="shared" si="212"/>
        <v>0</v>
      </c>
      <c r="X75" s="102"/>
      <c r="Y75" s="101">
        <f t="shared" si="213"/>
        <v>0</v>
      </c>
      <c r="Z75" s="102">
        <f t="shared" si="214"/>
        <v>0</v>
      </c>
    </row>
    <row r="76" spans="1:26" ht="40.799999999999997" x14ac:dyDescent="0.3">
      <c r="A76" s="9">
        <v>70</v>
      </c>
      <c r="B76" s="9"/>
      <c r="C76" s="9" t="s">
        <v>50</v>
      </c>
      <c r="D76" s="1" t="s">
        <v>309</v>
      </c>
      <c r="E76" s="1" t="s">
        <v>265</v>
      </c>
      <c r="F76" s="1" t="s">
        <v>279</v>
      </c>
      <c r="G76" s="110">
        <v>4</v>
      </c>
      <c r="H76" s="110">
        <v>3</v>
      </c>
      <c r="I76" s="115">
        <v>16</v>
      </c>
      <c r="J76" s="115">
        <f t="shared" si="208"/>
        <v>12</v>
      </c>
      <c r="K76" s="13"/>
      <c r="L76" s="110">
        <f t="shared" si="206"/>
        <v>3</v>
      </c>
      <c r="M76" s="110">
        <f t="shared" si="207"/>
        <v>2</v>
      </c>
      <c r="N76" s="116">
        <v>6</v>
      </c>
      <c r="O76" s="116">
        <f t="shared" si="209"/>
        <v>6</v>
      </c>
      <c r="P76" s="13"/>
      <c r="Q76" s="10" t="s">
        <v>77</v>
      </c>
      <c r="R76" s="11"/>
      <c r="S76" s="12" t="s">
        <v>35</v>
      </c>
      <c r="T76" s="110">
        <f t="shared" si="210"/>
        <v>3</v>
      </c>
      <c r="U76" s="110">
        <f t="shared" si="211"/>
        <v>2</v>
      </c>
      <c r="V76" s="120">
        <v>6</v>
      </c>
      <c r="W76" s="120">
        <f t="shared" si="212"/>
        <v>6</v>
      </c>
      <c r="X76" s="102"/>
      <c r="Y76" s="101">
        <f t="shared" si="213"/>
        <v>0.4</v>
      </c>
      <c r="Z76" s="102">
        <f t="shared" si="214"/>
        <v>0</v>
      </c>
    </row>
    <row r="77" spans="1:26" ht="102" x14ac:dyDescent="0.3">
      <c r="A77" s="9">
        <v>71</v>
      </c>
      <c r="B77" s="9"/>
      <c r="C77" s="9" t="s">
        <v>50</v>
      </c>
      <c r="D77" s="1" t="s">
        <v>310</v>
      </c>
      <c r="E77" s="1" t="s">
        <v>265</v>
      </c>
      <c r="F77" s="1" t="s">
        <v>311</v>
      </c>
      <c r="G77" s="110">
        <v>4</v>
      </c>
      <c r="H77" s="110">
        <v>3</v>
      </c>
      <c r="I77" s="115">
        <v>16</v>
      </c>
      <c r="J77" s="115">
        <f t="shared" si="208"/>
        <v>12</v>
      </c>
      <c r="K77" s="13"/>
      <c r="L77" s="110">
        <f t="shared" si="206"/>
        <v>3</v>
      </c>
      <c r="M77" s="110">
        <f t="shared" si="207"/>
        <v>2</v>
      </c>
      <c r="N77" s="116">
        <v>6</v>
      </c>
      <c r="O77" s="116">
        <f t="shared" si="209"/>
        <v>6</v>
      </c>
      <c r="P77" s="13"/>
      <c r="Q77" s="10" t="s">
        <v>77</v>
      </c>
      <c r="R77" s="11"/>
      <c r="S77" s="12" t="s">
        <v>35</v>
      </c>
      <c r="T77" s="110">
        <f t="shared" si="210"/>
        <v>3</v>
      </c>
      <c r="U77" s="110">
        <f t="shared" si="211"/>
        <v>2</v>
      </c>
      <c r="V77" s="120">
        <v>6</v>
      </c>
      <c r="W77" s="120">
        <f t="shared" si="212"/>
        <v>6</v>
      </c>
      <c r="X77" s="102"/>
      <c r="Y77" s="101">
        <f t="shared" si="213"/>
        <v>0.4</v>
      </c>
      <c r="Z77" s="102">
        <f t="shared" si="214"/>
        <v>0</v>
      </c>
    </row>
    <row r="78" spans="1:26" ht="40.799999999999997" x14ac:dyDescent="0.3">
      <c r="A78" s="9">
        <v>72</v>
      </c>
      <c r="B78" s="9"/>
      <c r="C78" s="9" t="s">
        <v>50</v>
      </c>
      <c r="D78" s="1" t="s">
        <v>312</v>
      </c>
      <c r="E78" s="1" t="s">
        <v>265</v>
      </c>
      <c r="F78" s="1" t="s">
        <v>313</v>
      </c>
      <c r="G78" s="110">
        <v>2</v>
      </c>
      <c r="H78" s="110">
        <v>2</v>
      </c>
      <c r="I78" s="116">
        <v>5</v>
      </c>
      <c r="J78" s="116">
        <f t="shared" si="208"/>
        <v>4</v>
      </c>
      <c r="K78" s="13"/>
      <c r="L78" s="110">
        <f t="shared" si="206"/>
        <v>1</v>
      </c>
      <c r="M78" s="110">
        <f t="shared" si="207"/>
        <v>1</v>
      </c>
      <c r="N78" s="116">
        <v>1</v>
      </c>
      <c r="O78" s="116">
        <f t="shared" si="209"/>
        <v>1</v>
      </c>
      <c r="P78" s="13"/>
      <c r="Q78" s="10" t="s">
        <v>77</v>
      </c>
      <c r="R78" s="11"/>
      <c r="S78" s="12" t="s">
        <v>35</v>
      </c>
      <c r="T78" s="110">
        <f t="shared" si="210"/>
        <v>1</v>
      </c>
      <c r="U78" s="110">
        <f t="shared" si="211"/>
        <v>1</v>
      </c>
      <c r="V78" s="120">
        <v>1</v>
      </c>
      <c r="W78" s="120">
        <f t="shared" si="212"/>
        <v>1</v>
      </c>
      <c r="X78" s="102"/>
      <c r="Y78" s="101">
        <f t="shared" si="213"/>
        <v>0.2</v>
      </c>
      <c r="Z78" s="102">
        <f t="shared" si="214"/>
        <v>0</v>
      </c>
    </row>
    <row r="79" spans="1:26" ht="40.799999999999997" x14ac:dyDescent="0.3">
      <c r="A79" s="9">
        <v>73</v>
      </c>
      <c r="B79" s="9"/>
      <c r="C79" s="9" t="s">
        <v>50</v>
      </c>
      <c r="D79" s="1" t="s">
        <v>314</v>
      </c>
      <c r="E79" s="1" t="s">
        <v>265</v>
      </c>
      <c r="F79" s="1" t="s">
        <v>315</v>
      </c>
      <c r="G79" s="110">
        <v>2</v>
      </c>
      <c r="H79" s="110">
        <v>3</v>
      </c>
      <c r="I79" s="115">
        <v>11</v>
      </c>
      <c r="J79" s="116">
        <f t="shared" si="208"/>
        <v>6</v>
      </c>
      <c r="K79" s="13"/>
      <c r="L79" s="110">
        <f t="shared" si="206"/>
        <v>1</v>
      </c>
      <c r="M79" s="110">
        <f t="shared" si="207"/>
        <v>2</v>
      </c>
      <c r="N79" s="116">
        <v>3</v>
      </c>
      <c r="O79" s="116">
        <f t="shared" si="209"/>
        <v>2</v>
      </c>
      <c r="P79" s="13"/>
      <c r="Q79" s="10" t="s">
        <v>77</v>
      </c>
      <c r="R79" s="11"/>
      <c r="S79" s="12" t="s">
        <v>35</v>
      </c>
      <c r="T79" s="110">
        <f t="shared" si="210"/>
        <v>1</v>
      </c>
      <c r="U79" s="110">
        <f t="shared" si="211"/>
        <v>2</v>
      </c>
      <c r="V79" s="120">
        <v>3</v>
      </c>
      <c r="W79" s="120">
        <f t="shared" si="212"/>
        <v>2</v>
      </c>
      <c r="X79" s="102"/>
      <c r="Y79" s="101">
        <f t="shared" si="213"/>
        <v>0.4</v>
      </c>
      <c r="Z79" s="102">
        <f t="shared" si="214"/>
        <v>0</v>
      </c>
    </row>
    <row r="80" spans="1:26" x14ac:dyDescent="0.3">
      <c r="A80" s="9">
        <v>74</v>
      </c>
      <c r="B80" s="9"/>
      <c r="C80" s="9" t="s">
        <v>50</v>
      </c>
      <c r="D80" s="1" t="s">
        <v>316</v>
      </c>
      <c r="E80" s="1" t="s">
        <v>265</v>
      </c>
      <c r="F80" s="1" t="s">
        <v>317</v>
      </c>
      <c r="G80" s="110">
        <v>3</v>
      </c>
      <c r="H80" s="110">
        <v>3</v>
      </c>
      <c r="I80" s="115">
        <v>12</v>
      </c>
      <c r="J80" s="115">
        <f t="shared" si="208"/>
        <v>9</v>
      </c>
      <c r="K80" s="13"/>
      <c r="L80" s="110">
        <f t="shared" si="206"/>
        <v>2</v>
      </c>
      <c r="M80" s="110">
        <f t="shared" si="207"/>
        <v>2</v>
      </c>
      <c r="N80" s="116">
        <v>5</v>
      </c>
      <c r="O80" s="116">
        <f t="shared" si="209"/>
        <v>4</v>
      </c>
      <c r="P80" s="13"/>
      <c r="Q80" s="10" t="s">
        <v>77</v>
      </c>
      <c r="R80" s="11"/>
      <c r="S80" s="12" t="s">
        <v>35</v>
      </c>
      <c r="T80" s="110">
        <f t="shared" si="210"/>
        <v>2</v>
      </c>
      <c r="U80" s="110">
        <f t="shared" si="211"/>
        <v>2</v>
      </c>
      <c r="V80" s="120">
        <v>5</v>
      </c>
      <c r="W80" s="120">
        <f t="shared" si="212"/>
        <v>4</v>
      </c>
      <c r="X80" s="102"/>
      <c r="Y80" s="101">
        <f t="shared" si="213"/>
        <v>0.4</v>
      </c>
      <c r="Z80" s="102">
        <f t="shared" si="214"/>
        <v>0</v>
      </c>
    </row>
    <row r="81" spans="1:26" x14ac:dyDescent="0.3">
      <c r="A81" s="9">
        <v>75</v>
      </c>
      <c r="B81" s="9"/>
      <c r="C81" s="9" t="s">
        <v>321</v>
      </c>
      <c r="D81" s="1" t="s">
        <v>322</v>
      </c>
      <c r="E81" s="1" t="s">
        <v>265</v>
      </c>
      <c r="F81" s="1" t="s">
        <v>323</v>
      </c>
      <c r="G81" s="110">
        <v>3</v>
      </c>
      <c r="H81" s="110">
        <v>3</v>
      </c>
      <c r="I81" s="115">
        <v>12</v>
      </c>
      <c r="J81" s="115">
        <f t="shared" si="208"/>
        <v>9</v>
      </c>
      <c r="K81" s="13"/>
      <c r="L81" s="110">
        <f t="shared" si="206"/>
        <v>2</v>
      </c>
      <c r="M81" s="110">
        <f t="shared" si="207"/>
        <v>2</v>
      </c>
      <c r="N81" s="116">
        <v>5</v>
      </c>
      <c r="O81" s="116">
        <f t="shared" si="209"/>
        <v>4</v>
      </c>
      <c r="P81" s="13"/>
      <c r="Q81" s="10" t="s">
        <v>77</v>
      </c>
      <c r="R81" s="11"/>
      <c r="S81" s="12" t="s">
        <v>35</v>
      </c>
      <c r="T81" s="110">
        <f t="shared" si="210"/>
        <v>2</v>
      </c>
      <c r="U81" s="110">
        <f t="shared" si="211"/>
        <v>2</v>
      </c>
      <c r="V81" s="120">
        <v>5</v>
      </c>
      <c r="W81" s="120">
        <f t="shared" si="212"/>
        <v>4</v>
      </c>
      <c r="X81" s="102"/>
      <c r="Y81" s="101">
        <f t="shared" si="213"/>
        <v>0.4</v>
      </c>
      <c r="Z81" s="102">
        <f t="shared" si="214"/>
        <v>0</v>
      </c>
    </row>
    <row r="82" spans="1:26" x14ac:dyDescent="0.3">
      <c r="A82" s="9">
        <v>76</v>
      </c>
      <c r="B82" s="9"/>
      <c r="C82" s="9" t="s">
        <v>321</v>
      </c>
      <c r="D82" s="1" t="s">
        <v>324</v>
      </c>
      <c r="E82" s="1" t="s">
        <v>265</v>
      </c>
      <c r="F82" s="1" t="s">
        <v>325</v>
      </c>
      <c r="G82" s="110">
        <v>3</v>
      </c>
      <c r="H82" s="110">
        <v>3</v>
      </c>
      <c r="I82" s="115">
        <v>12</v>
      </c>
      <c r="J82" s="115">
        <f t="shared" si="208"/>
        <v>9</v>
      </c>
      <c r="K82" s="13"/>
      <c r="L82" s="110">
        <f t="shared" si="206"/>
        <v>2</v>
      </c>
      <c r="M82" s="110">
        <f t="shared" si="207"/>
        <v>2</v>
      </c>
      <c r="N82" s="116">
        <v>5</v>
      </c>
      <c r="O82" s="116">
        <f t="shared" si="209"/>
        <v>4</v>
      </c>
      <c r="P82" s="13"/>
      <c r="Q82" s="10" t="s">
        <v>77</v>
      </c>
      <c r="R82" s="11"/>
      <c r="S82" s="12" t="s">
        <v>35</v>
      </c>
      <c r="T82" s="110">
        <f t="shared" si="210"/>
        <v>2</v>
      </c>
      <c r="U82" s="110">
        <f t="shared" si="211"/>
        <v>2</v>
      </c>
      <c r="V82" s="120">
        <v>5</v>
      </c>
      <c r="W82" s="120">
        <f t="shared" si="212"/>
        <v>4</v>
      </c>
      <c r="X82" s="102"/>
      <c r="Y82" s="101">
        <f t="shared" si="213"/>
        <v>0.4</v>
      </c>
      <c r="Z82" s="102">
        <f t="shared" si="214"/>
        <v>0</v>
      </c>
    </row>
    <row r="83" spans="1:26" ht="81.599999999999994" x14ac:dyDescent="0.3">
      <c r="A83" s="9">
        <v>77</v>
      </c>
      <c r="B83" s="9"/>
      <c r="C83" s="9" t="s">
        <v>321</v>
      </c>
      <c r="D83" s="1" t="s">
        <v>326</v>
      </c>
      <c r="E83" s="1" t="s">
        <v>265</v>
      </c>
      <c r="F83" s="1" t="s">
        <v>327</v>
      </c>
      <c r="G83" s="110">
        <v>3</v>
      </c>
      <c r="H83" s="110">
        <v>3</v>
      </c>
      <c r="I83" s="115">
        <v>12</v>
      </c>
      <c r="J83" s="115">
        <f t="shared" si="208"/>
        <v>9</v>
      </c>
      <c r="K83" s="13"/>
      <c r="L83" s="110">
        <f t="shared" si="206"/>
        <v>2</v>
      </c>
      <c r="M83" s="110">
        <f t="shared" si="207"/>
        <v>2</v>
      </c>
      <c r="N83" s="116">
        <v>5</v>
      </c>
      <c r="O83" s="116">
        <f t="shared" si="209"/>
        <v>4</v>
      </c>
      <c r="P83" s="13"/>
      <c r="Q83" s="10" t="s">
        <v>77</v>
      </c>
      <c r="R83" s="11"/>
      <c r="S83" s="12" t="s">
        <v>35</v>
      </c>
      <c r="T83" s="110">
        <f t="shared" si="210"/>
        <v>2</v>
      </c>
      <c r="U83" s="110">
        <f t="shared" si="211"/>
        <v>2</v>
      </c>
      <c r="V83" s="120">
        <v>5</v>
      </c>
      <c r="W83" s="120">
        <f t="shared" si="212"/>
        <v>4</v>
      </c>
      <c r="X83" s="102"/>
      <c r="Y83" s="101">
        <f t="shared" si="213"/>
        <v>0.4</v>
      </c>
      <c r="Z83" s="102">
        <f t="shared" si="214"/>
        <v>0</v>
      </c>
    </row>
    <row r="84" spans="1:26" ht="40.799999999999997" x14ac:dyDescent="0.3">
      <c r="A84" s="9">
        <v>78</v>
      </c>
      <c r="B84" s="9"/>
      <c r="C84" s="9" t="s">
        <v>321</v>
      </c>
      <c r="D84" s="1" t="s">
        <v>328</v>
      </c>
      <c r="E84" s="1" t="s">
        <v>265</v>
      </c>
      <c r="F84" s="1" t="s">
        <v>329</v>
      </c>
      <c r="G84" s="110">
        <v>3</v>
      </c>
      <c r="H84" s="110">
        <v>3</v>
      </c>
      <c r="I84" s="115">
        <v>12</v>
      </c>
      <c r="J84" s="115">
        <f t="shared" si="208"/>
        <v>9</v>
      </c>
      <c r="K84" s="13"/>
      <c r="L84" s="110">
        <f t="shared" si="206"/>
        <v>2</v>
      </c>
      <c r="M84" s="110">
        <f t="shared" si="207"/>
        <v>2</v>
      </c>
      <c r="N84" s="116">
        <v>5</v>
      </c>
      <c r="O84" s="116">
        <f t="shared" si="209"/>
        <v>4</v>
      </c>
      <c r="P84" s="13"/>
      <c r="Q84" s="10" t="s">
        <v>77</v>
      </c>
      <c r="R84" s="11"/>
      <c r="S84" s="12" t="s">
        <v>35</v>
      </c>
      <c r="T84" s="110">
        <f t="shared" si="210"/>
        <v>2</v>
      </c>
      <c r="U84" s="110">
        <f t="shared" si="211"/>
        <v>2</v>
      </c>
      <c r="V84" s="120">
        <v>5</v>
      </c>
      <c r="W84" s="120">
        <f t="shared" si="212"/>
        <v>4</v>
      </c>
      <c r="X84" s="102"/>
      <c r="Y84" s="101">
        <f t="shared" si="213"/>
        <v>0.4</v>
      </c>
      <c r="Z84" s="102">
        <f t="shared" si="214"/>
        <v>0</v>
      </c>
    </row>
    <row r="85" spans="1:26" ht="43.5" customHeight="1" x14ac:dyDescent="0.3">
      <c r="A85" s="9">
        <v>79</v>
      </c>
      <c r="B85" s="9"/>
      <c r="C85" s="9" t="s">
        <v>321</v>
      </c>
      <c r="D85" s="1" t="s">
        <v>330</v>
      </c>
      <c r="E85" s="1" t="s">
        <v>265</v>
      </c>
      <c r="F85" s="1" t="s">
        <v>331</v>
      </c>
      <c r="G85" s="110">
        <v>2</v>
      </c>
      <c r="H85" s="110">
        <v>2</v>
      </c>
      <c r="I85" s="116">
        <v>5</v>
      </c>
      <c r="J85" s="116">
        <f t="shared" si="208"/>
        <v>4</v>
      </c>
      <c r="K85" s="13"/>
      <c r="L85" s="110">
        <f t="shared" si="206"/>
        <v>1</v>
      </c>
      <c r="M85" s="110">
        <f t="shared" si="207"/>
        <v>1</v>
      </c>
      <c r="N85" s="116">
        <v>1</v>
      </c>
      <c r="O85" s="116">
        <f t="shared" si="209"/>
        <v>1</v>
      </c>
      <c r="P85" s="13"/>
      <c r="Q85" s="10" t="s">
        <v>77</v>
      </c>
      <c r="R85" s="11"/>
      <c r="S85" s="12" t="s">
        <v>35</v>
      </c>
      <c r="T85" s="110">
        <f t="shared" si="210"/>
        <v>1</v>
      </c>
      <c r="U85" s="110">
        <f t="shared" si="211"/>
        <v>1</v>
      </c>
      <c r="V85" s="120">
        <v>1</v>
      </c>
      <c r="W85" s="120">
        <f t="shared" si="212"/>
        <v>1</v>
      </c>
      <c r="X85" s="102"/>
      <c r="Y85" s="101">
        <f t="shared" si="213"/>
        <v>0.2</v>
      </c>
      <c r="Z85" s="102">
        <f t="shared" si="214"/>
        <v>0</v>
      </c>
    </row>
    <row r="86" spans="1:26" ht="40.799999999999997" x14ac:dyDescent="0.3">
      <c r="A86" s="9">
        <v>80</v>
      </c>
      <c r="B86" s="9"/>
      <c r="C86" s="9" t="s">
        <v>321</v>
      </c>
      <c r="D86" s="1" t="s">
        <v>332</v>
      </c>
      <c r="E86" s="1" t="s">
        <v>265</v>
      </c>
      <c r="F86" s="1" t="s">
        <v>333</v>
      </c>
      <c r="G86" s="110">
        <v>3</v>
      </c>
      <c r="H86" s="110">
        <v>2</v>
      </c>
      <c r="I86" s="116">
        <v>6</v>
      </c>
      <c r="J86" s="116">
        <f t="shared" si="199"/>
        <v>6</v>
      </c>
      <c r="K86" s="13"/>
      <c r="L86" s="110">
        <f t="shared" si="206"/>
        <v>2</v>
      </c>
      <c r="M86" s="110">
        <f t="shared" si="207"/>
        <v>1</v>
      </c>
      <c r="N86" s="116">
        <v>2</v>
      </c>
      <c r="O86" s="116">
        <f t="shared" si="200"/>
        <v>2</v>
      </c>
      <c r="P86" s="13"/>
      <c r="Q86" s="10" t="s">
        <v>77</v>
      </c>
      <c r="R86" s="11"/>
      <c r="S86" s="12" t="s">
        <v>35</v>
      </c>
      <c r="T86" s="110">
        <f t="shared" si="201"/>
        <v>2</v>
      </c>
      <c r="U86" s="110">
        <f t="shared" si="202"/>
        <v>1</v>
      </c>
      <c r="V86" s="120">
        <v>2</v>
      </c>
      <c r="W86" s="120">
        <f t="shared" si="203"/>
        <v>2</v>
      </c>
      <c r="X86" s="102"/>
      <c r="Y86" s="101">
        <f t="shared" si="204"/>
        <v>0.2</v>
      </c>
      <c r="Z86" s="102">
        <f t="shared" si="205"/>
        <v>0</v>
      </c>
    </row>
    <row r="87" spans="1:26" ht="40.799999999999997" x14ac:dyDescent="0.3">
      <c r="A87" s="9">
        <v>81</v>
      </c>
      <c r="B87" s="9"/>
      <c r="C87" s="9" t="s">
        <v>321</v>
      </c>
      <c r="D87" s="1" t="s">
        <v>334</v>
      </c>
      <c r="E87" s="1" t="s">
        <v>265</v>
      </c>
      <c r="F87" s="1" t="s">
        <v>335</v>
      </c>
      <c r="G87" s="110">
        <v>4</v>
      </c>
      <c r="H87" s="110">
        <v>2</v>
      </c>
      <c r="I87" s="115">
        <v>9</v>
      </c>
      <c r="J87" s="115">
        <f t="shared" si="199"/>
        <v>8</v>
      </c>
      <c r="K87" s="13"/>
      <c r="L87" s="110">
        <f t="shared" si="206"/>
        <v>3</v>
      </c>
      <c r="M87" s="110">
        <f t="shared" si="207"/>
        <v>1</v>
      </c>
      <c r="N87" s="116">
        <v>4</v>
      </c>
      <c r="O87" s="116">
        <f t="shared" si="200"/>
        <v>3</v>
      </c>
      <c r="P87" s="13"/>
      <c r="Q87" s="10" t="s">
        <v>77</v>
      </c>
      <c r="R87" s="11"/>
      <c r="S87" s="12" t="s">
        <v>35</v>
      </c>
      <c r="T87" s="110">
        <f t="shared" si="201"/>
        <v>3</v>
      </c>
      <c r="U87" s="110">
        <f t="shared" si="202"/>
        <v>1</v>
      </c>
      <c r="V87" s="120">
        <v>4</v>
      </c>
      <c r="W87" s="120">
        <f t="shared" si="203"/>
        <v>3</v>
      </c>
      <c r="X87" s="102"/>
      <c r="Y87" s="101">
        <f t="shared" si="204"/>
        <v>0.2</v>
      </c>
      <c r="Z87" s="102">
        <f t="shared" si="205"/>
        <v>0</v>
      </c>
    </row>
    <row r="88" spans="1:26" ht="40.799999999999997" x14ac:dyDescent="0.3">
      <c r="A88" s="9">
        <v>82</v>
      </c>
      <c r="B88" s="9"/>
      <c r="C88" s="9" t="s">
        <v>321</v>
      </c>
      <c r="D88" s="1" t="s">
        <v>336</v>
      </c>
      <c r="E88" s="1" t="s">
        <v>265</v>
      </c>
      <c r="F88" s="1" t="s">
        <v>337</v>
      </c>
      <c r="G88" s="110">
        <v>3</v>
      </c>
      <c r="H88" s="110">
        <v>3</v>
      </c>
      <c r="I88" s="115">
        <v>12</v>
      </c>
      <c r="J88" s="115">
        <f t="shared" si="199"/>
        <v>9</v>
      </c>
      <c r="K88" s="13"/>
      <c r="L88" s="110">
        <f t="shared" si="206"/>
        <v>2</v>
      </c>
      <c r="M88" s="110">
        <f t="shared" si="207"/>
        <v>2</v>
      </c>
      <c r="N88" s="116">
        <v>5</v>
      </c>
      <c r="O88" s="116">
        <f t="shared" si="200"/>
        <v>4</v>
      </c>
      <c r="P88" s="13"/>
      <c r="Q88" s="10" t="s">
        <v>77</v>
      </c>
      <c r="R88" s="11"/>
      <c r="S88" s="12" t="s">
        <v>35</v>
      </c>
      <c r="T88" s="110">
        <f t="shared" si="201"/>
        <v>2</v>
      </c>
      <c r="U88" s="110">
        <f t="shared" si="202"/>
        <v>2</v>
      </c>
      <c r="V88" s="120">
        <v>5</v>
      </c>
      <c r="W88" s="120">
        <f t="shared" si="203"/>
        <v>4</v>
      </c>
      <c r="X88" s="102"/>
      <c r="Y88" s="101">
        <f t="shared" si="204"/>
        <v>0.4</v>
      </c>
      <c r="Z88" s="102">
        <f t="shared" si="205"/>
        <v>0</v>
      </c>
    </row>
    <row r="89" spans="1:26" x14ac:dyDescent="0.3">
      <c r="A89" s="9">
        <v>83</v>
      </c>
      <c r="B89" s="9"/>
      <c r="C89" s="9" t="s">
        <v>321</v>
      </c>
      <c r="D89" s="1" t="s">
        <v>338</v>
      </c>
      <c r="E89" s="1" t="s">
        <v>265</v>
      </c>
      <c r="F89" s="1" t="s">
        <v>339</v>
      </c>
      <c r="G89" s="110">
        <v>5</v>
      </c>
      <c r="H89" s="110">
        <v>4</v>
      </c>
      <c r="I89" s="117">
        <v>22</v>
      </c>
      <c r="J89" s="117">
        <f t="shared" si="199"/>
        <v>20</v>
      </c>
      <c r="K89" s="13"/>
      <c r="L89" s="110">
        <f t="shared" si="206"/>
        <v>4</v>
      </c>
      <c r="M89" s="110">
        <f t="shared" si="207"/>
        <v>3</v>
      </c>
      <c r="N89" s="115">
        <v>16</v>
      </c>
      <c r="O89" s="115">
        <f t="shared" si="200"/>
        <v>12</v>
      </c>
      <c r="P89" s="13"/>
      <c r="Q89" s="10" t="s">
        <v>77</v>
      </c>
      <c r="R89" s="11"/>
      <c r="S89" s="12" t="s">
        <v>35</v>
      </c>
      <c r="T89" s="110">
        <f t="shared" si="201"/>
        <v>4</v>
      </c>
      <c r="U89" s="110">
        <f t="shared" si="202"/>
        <v>3</v>
      </c>
      <c r="V89" s="119">
        <v>16</v>
      </c>
      <c r="W89" s="119">
        <f t="shared" si="203"/>
        <v>12</v>
      </c>
      <c r="X89" s="102"/>
      <c r="Y89" s="101">
        <f t="shared" si="204"/>
        <v>0.6</v>
      </c>
      <c r="Z89" s="102">
        <f t="shared" si="205"/>
        <v>0</v>
      </c>
    </row>
    <row r="90" spans="1:26" ht="40.799999999999997" x14ac:dyDescent="0.3">
      <c r="A90" s="9">
        <v>84</v>
      </c>
      <c r="B90" s="9"/>
      <c r="C90" s="9" t="s">
        <v>321</v>
      </c>
      <c r="D90" s="1" t="s">
        <v>340</v>
      </c>
      <c r="E90" s="1" t="s">
        <v>341</v>
      </c>
      <c r="F90" s="1" t="s">
        <v>342</v>
      </c>
      <c r="G90" s="110">
        <v>3</v>
      </c>
      <c r="H90" s="110">
        <v>2</v>
      </c>
      <c r="I90" s="116">
        <v>6</v>
      </c>
      <c r="J90" s="116">
        <f t="shared" ref="J90:J93" si="215">H90*G90</f>
        <v>6</v>
      </c>
      <c r="K90" s="13"/>
      <c r="L90" s="110">
        <f t="shared" si="206"/>
        <v>2</v>
      </c>
      <c r="M90" s="110">
        <f t="shared" si="207"/>
        <v>1</v>
      </c>
      <c r="N90" s="116">
        <v>2</v>
      </c>
      <c r="O90" s="116">
        <f t="shared" ref="O90:O93" si="216">M90*L90</f>
        <v>2</v>
      </c>
      <c r="P90" s="13"/>
      <c r="Q90" s="10" t="s">
        <v>77</v>
      </c>
      <c r="R90" s="11"/>
      <c r="S90" s="12" t="s">
        <v>35</v>
      </c>
      <c r="T90" s="110">
        <f t="shared" ref="T90:T93" si="217">L90</f>
        <v>2</v>
      </c>
      <c r="U90" s="110">
        <f t="shared" ref="U90:U93" si="218">M90</f>
        <v>1</v>
      </c>
      <c r="V90" s="120">
        <v>2</v>
      </c>
      <c r="W90" s="120">
        <f t="shared" ref="W90:W93" si="219">U90*T90</f>
        <v>2</v>
      </c>
      <c r="X90" s="102"/>
      <c r="Y90" s="101">
        <f t="shared" ref="Y90:Y93" si="220">IF(U90=5,1,IF(U90=4,0.8,IF(U90=3,0.6,IF(U90=2,0.4,IF(U90=1,0.2,0)))))</f>
        <v>0.2</v>
      </c>
      <c r="Z90" s="102">
        <f t="shared" ref="Z90:Z93" si="221">Y90*X90</f>
        <v>0</v>
      </c>
    </row>
    <row r="91" spans="1:26" ht="61.2" x14ac:dyDescent="0.3">
      <c r="A91" s="9">
        <v>85</v>
      </c>
      <c r="B91" s="9"/>
      <c r="C91" s="9" t="s">
        <v>321</v>
      </c>
      <c r="D91" s="1" t="s">
        <v>343</v>
      </c>
      <c r="E91" s="1" t="s">
        <v>265</v>
      </c>
      <c r="F91" s="1" t="s">
        <v>344</v>
      </c>
      <c r="G91" s="110">
        <v>3</v>
      </c>
      <c r="H91" s="110">
        <v>3</v>
      </c>
      <c r="I91" s="115">
        <v>12</v>
      </c>
      <c r="J91" s="115">
        <f t="shared" si="215"/>
        <v>9</v>
      </c>
      <c r="K91" s="13"/>
      <c r="L91" s="110">
        <f t="shared" si="206"/>
        <v>2</v>
      </c>
      <c r="M91" s="110">
        <f t="shared" si="207"/>
        <v>2</v>
      </c>
      <c r="N91" s="116">
        <v>5</v>
      </c>
      <c r="O91" s="116">
        <f t="shared" si="216"/>
        <v>4</v>
      </c>
      <c r="P91" s="13"/>
      <c r="Q91" s="10" t="s">
        <v>77</v>
      </c>
      <c r="R91" s="11"/>
      <c r="S91" s="12" t="s">
        <v>35</v>
      </c>
      <c r="T91" s="110">
        <f t="shared" si="217"/>
        <v>2</v>
      </c>
      <c r="U91" s="110">
        <f t="shared" si="218"/>
        <v>2</v>
      </c>
      <c r="V91" s="120">
        <v>5</v>
      </c>
      <c r="W91" s="120">
        <f t="shared" si="219"/>
        <v>4</v>
      </c>
      <c r="X91" s="102"/>
      <c r="Y91" s="101">
        <f t="shared" si="220"/>
        <v>0.4</v>
      </c>
      <c r="Z91" s="102">
        <f t="shared" si="221"/>
        <v>0</v>
      </c>
    </row>
    <row r="92" spans="1:26" ht="61.2" x14ac:dyDescent="0.3">
      <c r="A92" s="9">
        <v>86</v>
      </c>
      <c r="B92" s="9"/>
      <c r="C92" s="9" t="s">
        <v>321</v>
      </c>
      <c r="D92" s="1" t="s">
        <v>345</v>
      </c>
      <c r="E92" s="1" t="s">
        <v>265</v>
      </c>
      <c r="F92" s="1" t="s">
        <v>346</v>
      </c>
      <c r="G92" s="110">
        <v>4</v>
      </c>
      <c r="H92" s="110">
        <v>3</v>
      </c>
      <c r="I92" s="115">
        <v>16</v>
      </c>
      <c r="J92" s="115">
        <f t="shared" si="215"/>
        <v>12</v>
      </c>
      <c r="K92" s="13"/>
      <c r="L92" s="110">
        <f t="shared" si="206"/>
        <v>3</v>
      </c>
      <c r="M92" s="110">
        <f t="shared" si="207"/>
        <v>2</v>
      </c>
      <c r="N92" s="116">
        <v>6</v>
      </c>
      <c r="O92" s="116">
        <f t="shared" si="216"/>
        <v>6</v>
      </c>
      <c r="P92" s="13"/>
      <c r="Q92" s="10" t="s">
        <v>77</v>
      </c>
      <c r="R92" s="11"/>
      <c r="S92" s="12" t="s">
        <v>35</v>
      </c>
      <c r="T92" s="110">
        <f t="shared" si="217"/>
        <v>3</v>
      </c>
      <c r="U92" s="110">
        <f t="shared" si="218"/>
        <v>2</v>
      </c>
      <c r="V92" s="120">
        <v>6</v>
      </c>
      <c r="W92" s="120">
        <f t="shared" si="219"/>
        <v>6</v>
      </c>
      <c r="X92" s="102"/>
      <c r="Y92" s="101">
        <f t="shared" si="220"/>
        <v>0.4</v>
      </c>
      <c r="Z92" s="102">
        <f t="shared" si="221"/>
        <v>0</v>
      </c>
    </row>
    <row r="93" spans="1:26" x14ac:dyDescent="0.3">
      <c r="A93" s="9">
        <v>55</v>
      </c>
      <c r="B93" s="9"/>
      <c r="C93" s="9"/>
      <c r="D93" s="1"/>
      <c r="E93" s="1"/>
      <c r="F93" s="1"/>
      <c r="G93" s="110"/>
      <c r="H93" s="110"/>
      <c r="I93" s="117">
        <v>25</v>
      </c>
      <c r="J93" s="117">
        <f t="shared" si="215"/>
        <v>0</v>
      </c>
      <c r="K93" s="13"/>
      <c r="L93" s="110">
        <f t="shared" si="206"/>
        <v>-1</v>
      </c>
      <c r="M93" s="110">
        <f t="shared" si="207"/>
        <v>-1</v>
      </c>
      <c r="N93" s="117">
        <v>25</v>
      </c>
      <c r="O93" s="116">
        <f t="shared" si="216"/>
        <v>1</v>
      </c>
      <c r="P93" s="13"/>
      <c r="Q93" s="10" t="s">
        <v>77</v>
      </c>
      <c r="R93" s="11"/>
      <c r="S93" s="12" t="s">
        <v>35</v>
      </c>
      <c r="T93" s="110">
        <f t="shared" si="217"/>
        <v>-1</v>
      </c>
      <c r="U93" s="110">
        <f t="shared" si="218"/>
        <v>-1</v>
      </c>
      <c r="V93" s="121">
        <v>25</v>
      </c>
      <c r="W93" s="120">
        <f t="shared" si="219"/>
        <v>1</v>
      </c>
      <c r="X93" s="102"/>
      <c r="Y93" s="101">
        <f t="shared" si="220"/>
        <v>0</v>
      </c>
      <c r="Z93" s="102">
        <f t="shared" si="221"/>
        <v>0</v>
      </c>
    </row>
    <row r="94" spans="1:26" x14ac:dyDescent="0.3">
      <c r="A94" s="9">
        <v>56</v>
      </c>
      <c r="B94" s="9"/>
      <c r="C94" s="9"/>
      <c r="D94" s="1"/>
      <c r="E94" s="1"/>
      <c r="F94" s="1"/>
      <c r="G94" s="110"/>
      <c r="H94" s="110"/>
      <c r="I94" s="117">
        <v>25</v>
      </c>
      <c r="J94" s="117">
        <f t="shared" ref="J94:J97" si="222">H94*G94</f>
        <v>0</v>
      </c>
      <c r="K94" s="13"/>
      <c r="L94" s="110">
        <f t="shared" si="206"/>
        <v>-1</v>
      </c>
      <c r="M94" s="110">
        <f t="shared" si="207"/>
        <v>-1</v>
      </c>
      <c r="N94" s="117">
        <v>25</v>
      </c>
      <c r="O94" s="116">
        <f t="shared" ref="O94:O97" si="223">M94*L94</f>
        <v>1</v>
      </c>
      <c r="P94" s="13"/>
      <c r="Q94" s="10" t="s">
        <v>77</v>
      </c>
      <c r="R94" s="11"/>
      <c r="S94" s="12" t="s">
        <v>35</v>
      </c>
      <c r="T94" s="110">
        <f t="shared" ref="T94:T97" si="224">L94</f>
        <v>-1</v>
      </c>
      <c r="U94" s="110">
        <f t="shared" ref="U94:U97" si="225">M94</f>
        <v>-1</v>
      </c>
      <c r="V94" s="121">
        <v>25</v>
      </c>
      <c r="W94" s="120">
        <f t="shared" ref="W94:W97" si="226">U94*T94</f>
        <v>1</v>
      </c>
      <c r="X94" s="102"/>
      <c r="Y94" s="101">
        <f t="shared" ref="Y94:Y97" si="227">IF(U94=5,1,IF(U94=4,0.8,IF(U94=3,0.6,IF(U94=2,0.4,IF(U94=1,0.2,0)))))</f>
        <v>0</v>
      </c>
      <c r="Z94" s="102">
        <f t="shared" ref="Z94:Z97" si="228">Y94*X94</f>
        <v>0</v>
      </c>
    </row>
    <row r="95" spans="1:26" x14ac:dyDescent="0.3">
      <c r="A95" s="9">
        <v>57</v>
      </c>
      <c r="B95" s="9"/>
      <c r="C95" s="9"/>
      <c r="D95" s="1"/>
      <c r="E95" s="1"/>
      <c r="F95" s="1"/>
      <c r="G95" s="110"/>
      <c r="H95" s="110"/>
      <c r="I95" s="117">
        <v>25</v>
      </c>
      <c r="J95" s="117">
        <f t="shared" si="222"/>
        <v>0</v>
      </c>
      <c r="K95" s="13"/>
      <c r="L95" s="110">
        <f t="shared" si="206"/>
        <v>-1</v>
      </c>
      <c r="M95" s="110">
        <f t="shared" si="207"/>
        <v>-1</v>
      </c>
      <c r="N95" s="117">
        <v>25</v>
      </c>
      <c r="O95" s="116">
        <f t="shared" si="223"/>
        <v>1</v>
      </c>
      <c r="P95" s="13"/>
      <c r="Q95" s="10" t="s">
        <v>77</v>
      </c>
      <c r="R95" s="11"/>
      <c r="S95" s="12" t="s">
        <v>35</v>
      </c>
      <c r="T95" s="110">
        <f t="shared" si="224"/>
        <v>-1</v>
      </c>
      <c r="U95" s="110">
        <f t="shared" si="225"/>
        <v>-1</v>
      </c>
      <c r="V95" s="121">
        <v>25</v>
      </c>
      <c r="W95" s="120">
        <f t="shared" si="226"/>
        <v>1</v>
      </c>
      <c r="X95" s="102"/>
      <c r="Y95" s="101">
        <f t="shared" si="227"/>
        <v>0</v>
      </c>
      <c r="Z95" s="102">
        <f t="shared" si="228"/>
        <v>0</v>
      </c>
    </row>
    <row r="96" spans="1:26" x14ac:dyDescent="0.3">
      <c r="A96" s="9">
        <v>58</v>
      </c>
      <c r="B96" s="9"/>
      <c r="C96" s="9"/>
      <c r="D96" s="1"/>
      <c r="E96" s="1"/>
      <c r="F96" s="1"/>
      <c r="G96" s="110"/>
      <c r="H96" s="110"/>
      <c r="I96" s="117">
        <v>25</v>
      </c>
      <c r="J96" s="117">
        <f t="shared" si="222"/>
        <v>0</v>
      </c>
      <c r="K96" s="13"/>
      <c r="L96" s="110">
        <f t="shared" ref="L96:L101" si="229">G96-1</f>
        <v>-1</v>
      </c>
      <c r="M96" s="110">
        <f t="shared" ref="M96:M101" si="230">H96-1</f>
        <v>-1</v>
      </c>
      <c r="N96" s="117">
        <v>25</v>
      </c>
      <c r="O96" s="116">
        <f t="shared" si="223"/>
        <v>1</v>
      </c>
      <c r="P96" s="13"/>
      <c r="Q96" s="10" t="s">
        <v>77</v>
      </c>
      <c r="R96" s="11"/>
      <c r="S96" s="12" t="s">
        <v>35</v>
      </c>
      <c r="T96" s="110">
        <f t="shared" si="224"/>
        <v>-1</v>
      </c>
      <c r="U96" s="110">
        <f t="shared" si="225"/>
        <v>-1</v>
      </c>
      <c r="V96" s="121">
        <v>25</v>
      </c>
      <c r="W96" s="120">
        <f t="shared" si="226"/>
        <v>1</v>
      </c>
      <c r="X96" s="102"/>
      <c r="Y96" s="101">
        <f t="shared" si="227"/>
        <v>0</v>
      </c>
      <c r="Z96" s="102">
        <f t="shared" si="228"/>
        <v>0</v>
      </c>
    </row>
    <row r="97" spans="1:26" x14ac:dyDescent="0.3">
      <c r="A97" s="9">
        <v>59</v>
      </c>
      <c r="B97" s="9"/>
      <c r="C97" s="9"/>
      <c r="D97" s="1"/>
      <c r="E97" s="1"/>
      <c r="F97" s="1"/>
      <c r="G97" s="110"/>
      <c r="H97" s="110"/>
      <c r="I97" s="117">
        <v>25</v>
      </c>
      <c r="J97" s="117">
        <f t="shared" si="222"/>
        <v>0</v>
      </c>
      <c r="K97" s="13"/>
      <c r="L97" s="110">
        <f t="shared" si="229"/>
        <v>-1</v>
      </c>
      <c r="M97" s="110">
        <f t="shared" si="230"/>
        <v>-1</v>
      </c>
      <c r="N97" s="117">
        <v>25</v>
      </c>
      <c r="O97" s="116">
        <f t="shared" si="223"/>
        <v>1</v>
      </c>
      <c r="P97" s="13"/>
      <c r="Q97" s="10" t="s">
        <v>77</v>
      </c>
      <c r="R97" s="11"/>
      <c r="S97" s="12" t="s">
        <v>35</v>
      </c>
      <c r="T97" s="110">
        <f t="shared" si="224"/>
        <v>-1</v>
      </c>
      <c r="U97" s="110">
        <f t="shared" si="225"/>
        <v>-1</v>
      </c>
      <c r="V97" s="121">
        <v>25</v>
      </c>
      <c r="W97" s="120">
        <f t="shared" si="226"/>
        <v>1</v>
      </c>
      <c r="X97" s="102"/>
      <c r="Y97" s="101">
        <f t="shared" si="227"/>
        <v>0</v>
      </c>
      <c r="Z97" s="102">
        <f t="shared" si="228"/>
        <v>0</v>
      </c>
    </row>
    <row r="98" spans="1:26" x14ac:dyDescent="0.3">
      <c r="A98" s="9">
        <v>60</v>
      </c>
      <c r="B98" s="9"/>
      <c r="C98" s="9"/>
      <c r="D98" s="1"/>
      <c r="E98" s="1"/>
      <c r="F98" s="1"/>
      <c r="G98" s="110"/>
      <c r="H98" s="110"/>
      <c r="I98" s="117">
        <v>25</v>
      </c>
      <c r="J98" s="117">
        <f t="shared" si="199"/>
        <v>0</v>
      </c>
      <c r="K98" s="13"/>
      <c r="L98" s="110">
        <f t="shared" si="229"/>
        <v>-1</v>
      </c>
      <c r="M98" s="110">
        <f t="shared" si="230"/>
        <v>-1</v>
      </c>
      <c r="N98" s="117">
        <v>25</v>
      </c>
      <c r="O98" s="116">
        <f t="shared" si="200"/>
        <v>1</v>
      </c>
      <c r="P98" s="13"/>
      <c r="Q98" s="10" t="s">
        <v>77</v>
      </c>
      <c r="R98" s="11"/>
      <c r="S98" s="12" t="s">
        <v>35</v>
      </c>
      <c r="T98" s="110">
        <f t="shared" si="201"/>
        <v>-1</v>
      </c>
      <c r="U98" s="110">
        <f t="shared" si="202"/>
        <v>-1</v>
      </c>
      <c r="V98" s="121">
        <v>25</v>
      </c>
      <c r="W98" s="120">
        <f t="shared" si="203"/>
        <v>1</v>
      </c>
      <c r="X98" s="102"/>
      <c r="Y98" s="101">
        <f t="shared" si="204"/>
        <v>0</v>
      </c>
      <c r="Z98" s="102">
        <f t="shared" si="205"/>
        <v>0</v>
      </c>
    </row>
    <row r="99" spans="1:26" x14ac:dyDescent="0.3">
      <c r="A99" s="9">
        <v>61</v>
      </c>
      <c r="B99" s="9"/>
      <c r="C99" s="9"/>
      <c r="D99" s="1"/>
      <c r="E99" s="1"/>
      <c r="F99" s="1"/>
      <c r="G99" s="110"/>
      <c r="H99" s="110"/>
      <c r="I99" s="117">
        <v>25</v>
      </c>
      <c r="J99" s="117">
        <f t="shared" si="199"/>
        <v>0</v>
      </c>
      <c r="K99" s="13"/>
      <c r="L99" s="110">
        <f t="shared" si="229"/>
        <v>-1</v>
      </c>
      <c r="M99" s="110">
        <f t="shared" si="230"/>
        <v>-1</v>
      </c>
      <c r="N99" s="117">
        <v>25</v>
      </c>
      <c r="O99" s="116">
        <f t="shared" si="200"/>
        <v>1</v>
      </c>
      <c r="P99" s="13"/>
      <c r="Q99" s="10" t="s">
        <v>77</v>
      </c>
      <c r="R99" s="11"/>
      <c r="S99" s="12" t="s">
        <v>35</v>
      </c>
      <c r="T99" s="110">
        <f t="shared" si="201"/>
        <v>-1</v>
      </c>
      <c r="U99" s="110">
        <f t="shared" si="202"/>
        <v>-1</v>
      </c>
      <c r="V99" s="121">
        <v>25</v>
      </c>
      <c r="W99" s="120">
        <f t="shared" si="203"/>
        <v>1</v>
      </c>
      <c r="X99" s="102"/>
      <c r="Y99" s="101">
        <f t="shared" si="204"/>
        <v>0</v>
      </c>
      <c r="Z99" s="102">
        <f t="shared" si="205"/>
        <v>0</v>
      </c>
    </row>
    <row r="100" spans="1:26" x14ac:dyDescent="0.3">
      <c r="A100" s="9">
        <v>62</v>
      </c>
      <c r="B100" s="9"/>
      <c r="C100" s="9"/>
      <c r="D100" s="1"/>
      <c r="E100" s="1"/>
      <c r="F100" s="1"/>
      <c r="G100" s="110"/>
      <c r="H100" s="110"/>
      <c r="I100" s="117">
        <v>25</v>
      </c>
      <c r="J100" s="117">
        <f t="shared" ref="J100" si="231">H100*G100</f>
        <v>0</v>
      </c>
      <c r="K100" s="13"/>
      <c r="L100" s="110">
        <f t="shared" si="229"/>
        <v>-1</v>
      </c>
      <c r="M100" s="110">
        <f t="shared" si="230"/>
        <v>-1</v>
      </c>
      <c r="N100" s="117">
        <v>25</v>
      </c>
      <c r="O100" s="116">
        <f t="shared" ref="O100" si="232">M100*L100</f>
        <v>1</v>
      </c>
      <c r="P100" s="13"/>
      <c r="Q100" s="10" t="s">
        <v>77</v>
      </c>
      <c r="R100" s="11"/>
      <c r="S100" s="12" t="s">
        <v>35</v>
      </c>
      <c r="T100" s="110">
        <f t="shared" ref="T100" si="233">L100</f>
        <v>-1</v>
      </c>
      <c r="U100" s="110">
        <f t="shared" ref="U100" si="234">M100</f>
        <v>-1</v>
      </c>
      <c r="V100" s="121">
        <v>25</v>
      </c>
      <c r="W100" s="120">
        <f t="shared" ref="W100" si="235">U100*T100</f>
        <v>1</v>
      </c>
      <c r="X100" s="102"/>
      <c r="Y100" s="101">
        <f t="shared" ref="Y100" si="236">IF(U100=5,1,IF(U100=4,0.8,IF(U100=3,0.6,IF(U100=2,0.4,IF(U100=1,0.2,0)))))</f>
        <v>0</v>
      </c>
      <c r="Z100" s="102">
        <f t="shared" ref="Z100" si="237">Y100*X100</f>
        <v>0</v>
      </c>
    </row>
    <row r="101" spans="1:26" x14ac:dyDescent="0.3">
      <c r="A101" s="9">
        <v>63</v>
      </c>
      <c r="B101" s="9"/>
      <c r="C101" s="9"/>
      <c r="D101" s="1"/>
      <c r="E101" s="1"/>
      <c r="F101" s="1"/>
      <c r="G101" s="110"/>
      <c r="H101" s="110"/>
      <c r="I101" s="117">
        <v>25</v>
      </c>
      <c r="J101" s="117">
        <f t="shared" ref="J101" si="238">H101*G101</f>
        <v>0</v>
      </c>
      <c r="K101" s="13"/>
      <c r="L101" s="110">
        <f t="shared" si="229"/>
        <v>-1</v>
      </c>
      <c r="M101" s="110">
        <f t="shared" si="230"/>
        <v>-1</v>
      </c>
      <c r="N101" s="117">
        <v>25</v>
      </c>
      <c r="O101" s="116">
        <f t="shared" ref="O101" si="239">M101*L101</f>
        <v>1</v>
      </c>
      <c r="P101" s="13"/>
      <c r="Q101" s="10" t="s">
        <v>77</v>
      </c>
      <c r="R101" s="11"/>
      <c r="S101" s="12" t="s">
        <v>35</v>
      </c>
      <c r="T101" s="110">
        <f t="shared" ref="T101" si="240">L101</f>
        <v>-1</v>
      </c>
      <c r="U101" s="110">
        <f t="shared" ref="U101" si="241">M101</f>
        <v>-1</v>
      </c>
      <c r="V101" s="121">
        <v>25</v>
      </c>
      <c r="W101" s="120">
        <f t="shared" ref="W101" si="242">U101*T101</f>
        <v>1</v>
      </c>
      <c r="X101" s="102"/>
      <c r="Y101" s="101">
        <f t="shared" ref="Y101" si="243">IF(U101=5,1,IF(U101=4,0.8,IF(U101=3,0.6,IF(U101=2,0.4,IF(U101=1,0.2,0)))))</f>
        <v>0</v>
      </c>
      <c r="Z101" s="102">
        <f t="shared" ref="Z101" si="244">Y101*X101</f>
        <v>0</v>
      </c>
    </row>
    <row r="102" spans="1:26" x14ac:dyDescent="0.3">
      <c r="I102" s="128">
        <v>25</v>
      </c>
      <c r="J102" s="128"/>
      <c r="N102" s="128">
        <v>25</v>
      </c>
      <c r="O102" s="128"/>
      <c r="V102" s="128">
        <v>25</v>
      </c>
      <c r="W102" s="128"/>
      <c r="Z102" s="103"/>
    </row>
    <row r="103" spans="1:26" x14ac:dyDescent="0.3">
      <c r="I103" s="128">
        <v>25</v>
      </c>
      <c r="J103" s="128"/>
      <c r="N103" s="128">
        <v>25</v>
      </c>
      <c r="O103" s="128"/>
      <c r="V103" s="128">
        <v>25</v>
      </c>
      <c r="W103" s="128"/>
      <c r="Z103" s="103"/>
    </row>
    <row r="104" spans="1:26" x14ac:dyDescent="0.3">
      <c r="I104" s="128">
        <v>25</v>
      </c>
      <c r="J104" s="128"/>
      <c r="N104" s="128">
        <v>25</v>
      </c>
      <c r="O104" s="128"/>
      <c r="V104" s="128">
        <v>25</v>
      </c>
      <c r="W104" s="128"/>
      <c r="Z104" s="103"/>
    </row>
    <row r="105" spans="1:26" x14ac:dyDescent="0.3">
      <c r="I105" s="128">
        <v>25</v>
      </c>
      <c r="J105" s="128"/>
      <c r="N105" s="128">
        <v>25</v>
      </c>
      <c r="O105" s="128"/>
      <c r="V105" s="128">
        <v>25</v>
      </c>
      <c r="W105" s="128"/>
      <c r="Z105" s="103"/>
    </row>
    <row r="106" spans="1:26" x14ac:dyDescent="0.3">
      <c r="I106" s="128">
        <v>25</v>
      </c>
      <c r="J106" s="128"/>
      <c r="N106" s="128">
        <v>25</v>
      </c>
      <c r="O106" s="128"/>
      <c r="V106" s="128">
        <v>25</v>
      </c>
      <c r="W106" s="128"/>
      <c r="Z106" s="103"/>
    </row>
    <row r="107" spans="1:26" x14ac:dyDescent="0.3">
      <c r="I107" s="128">
        <v>25</v>
      </c>
      <c r="J107" s="128"/>
      <c r="N107" s="128">
        <v>25</v>
      </c>
      <c r="O107" s="128"/>
      <c r="V107" s="128">
        <v>25</v>
      </c>
      <c r="W107" s="128"/>
      <c r="Z107" s="103"/>
    </row>
    <row r="108" spans="1:26" x14ac:dyDescent="0.3">
      <c r="I108" s="128">
        <v>25</v>
      </c>
      <c r="J108" s="128"/>
      <c r="N108" s="128">
        <v>25</v>
      </c>
      <c r="O108" s="128"/>
      <c r="V108" s="128">
        <v>25</v>
      </c>
      <c r="W108" s="128"/>
      <c r="Z108" s="103"/>
    </row>
    <row r="109" spans="1:26" x14ac:dyDescent="0.3">
      <c r="I109" s="128">
        <v>25</v>
      </c>
      <c r="J109" s="128"/>
      <c r="N109" s="128">
        <v>25</v>
      </c>
      <c r="O109" s="128"/>
      <c r="V109" s="128">
        <v>25</v>
      </c>
      <c r="W109" s="128"/>
      <c r="Z109" s="103"/>
    </row>
    <row r="110" spans="1:26" x14ac:dyDescent="0.3">
      <c r="I110" s="128">
        <v>25</v>
      </c>
      <c r="J110" s="128"/>
      <c r="N110" s="128">
        <v>25</v>
      </c>
      <c r="O110" s="128"/>
      <c r="V110" s="128">
        <v>25</v>
      </c>
      <c r="W110" s="128"/>
      <c r="Z110" s="103"/>
    </row>
    <row r="111" spans="1:26" x14ac:dyDescent="0.3">
      <c r="I111" s="128">
        <v>25</v>
      </c>
      <c r="J111" s="128"/>
      <c r="N111" s="128">
        <v>25</v>
      </c>
      <c r="O111" s="128"/>
      <c r="V111" s="128">
        <v>25</v>
      </c>
      <c r="W111" s="128"/>
      <c r="Z111" s="103"/>
    </row>
    <row r="112" spans="1:26" x14ac:dyDescent="0.3">
      <c r="I112" s="128">
        <v>25</v>
      </c>
      <c r="J112" s="128"/>
      <c r="N112" s="128">
        <v>25</v>
      </c>
      <c r="O112" s="128"/>
      <c r="V112" s="128">
        <v>25</v>
      </c>
      <c r="W112" s="128"/>
      <c r="Z112" s="103"/>
    </row>
    <row r="113" spans="9:26" x14ac:dyDescent="0.3">
      <c r="I113" s="128">
        <v>25</v>
      </c>
      <c r="J113" s="128"/>
      <c r="N113" s="128">
        <v>25</v>
      </c>
      <c r="O113" s="128"/>
      <c r="V113" s="128">
        <v>25</v>
      </c>
      <c r="W113" s="128"/>
      <c r="Z113" s="103"/>
    </row>
    <row r="114" spans="9:26" x14ac:dyDescent="0.3">
      <c r="I114" s="128">
        <v>25</v>
      </c>
      <c r="J114" s="128"/>
      <c r="N114" s="128">
        <v>25</v>
      </c>
      <c r="O114" s="128"/>
      <c r="V114" s="128">
        <v>25</v>
      </c>
      <c r="W114" s="128"/>
      <c r="Z114" s="103"/>
    </row>
    <row r="115" spans="9:26" x14ac:dyDescent="0.3">
      <c r="I115" s="128">
        <v>25</v>
      </c>
      <c r="J115" s="128"/>
      <c r="N115" s="128">
        <v>25</v>
      </c>
      <c r="O115" s="128"/>
      <c r="V115" s="128">
        <v>25</v>
      </c>
      <c r="W115" s="128"/>
      <c r="Z115" s="103"/>
    </row>
    <row r="116" spans="9:26" x14ac:dyDescent="0.3">
      <c r="I116" s="128">
        <v>25</v>
      </c>
      <c r="J116" s="128"/>
      <c r="N116" s="128">
        <v>25</v>
      </c>
      <c r="O116" s="128"/>
      <c r="V116" s="128">
        <v>25</v>
      </c>
      <c r="W116" s="128"/>
      <c r="Z116" s="103"/>
    </row>
    <row r="117" spans="9:26" x14ac:dyDescent="0.3">
      <c r="I117" s="128">
        <v>25</v>
      </c>
      <c r="J117" s="128"/>
      <c r="N117" s="128">
        <v>25</v>
      </c>
      <c r="O117" s="128"/>
      <c r="V117" s="128">
        <v>25</v>
      </c>
      <c r="W117" s="128"/>
      <c r="Z117" s="103"/>
    </row>
    <row r="118" spans="9:26" x14ac:dyDescent="0.3">
      <c r="I118" s="128">
        <v>25</v>
      </c>
      <c r="J118" s="128"/>
      <c r="N118" s="128">
        <v>25</v>
      </c>
      <c r="O118" s="128"/>
      <c r="V118" s="128">
        <v>25</v>
      </c>
      <c r="W118" s="128"/>
      <c r="Z118" s="103"/>
    </row>
    <row r="119" spans="9:26" x14ac:dyDescent="0.3">
      <c r="I119" s="128">
        <v>25</v>
      </c>
      <c r="J119" s="128"/>
      <c r="N119" s="128">
        <v>25</v>
      </c>
      <c r="O119" s="128"/>
      <c r="V119" s="128">
        <v>25</v>
      </c>
      <c r="W119" s="128"/>
      <c r="Z119" s="103"/>
    </row>
    <row r="120" spans="9:26" x14ac:dyDescent="0.3">
      <c r="I120" s="128">
        <v>25</v>
      </c>
      <c r="J120" s="128"/>
      <c r="N120" s="128">
        <v>25</v>
      </c>
      <c r="O120" s="128"/>
      <c r="V120" s="128">
        <v>25</v>
      </c>
      <c r="W120" s="128"/>
      <c r="Z120" s="103"/>
    </row>
    <row r="121" spans="9:26" x14ac:dyDescent="0.3">
      <c r="I121" s="128">
        <v>25</v>
      </c>
      <c r="J121" s="128"/>
      <c r="N121" s="128">
        <v>25</v>
      </c>
      <c r="O121" s="128"/>
      <c r="V121" s="128">
        <v>25</v>
      </c>
      <c r="W121" s="128"/>
      <c r="Z121" s="103"/>
    </row>
    <row r="122" spans="9:26" x14ac:dyDescent="0.3">
      <c r="I122" s="128">
        <v>25</v>
      </c>
      <c r="J122" s="128"/>
      <c r="N122" s="128">
        <v>25</v>
      </c>
      <c r="O122" s="128"/>
      <c r="V122" s="128">
        <v>25</v>
      </c>
      <c r="W122" s="128"/>
      <c r="Z122" s="103"/>
    </row>
    <row r="123" spans="9:26" x14ac:dyDescent="0.3">
      <c r="I123" s="128">
        <v>25</v>
      </c>
      <c r="J123" s="128"/>
      <c r="N123" s="128">
        <v>25</v>
      </c>
      <c r="O123" s="128"/>
      <c r="V123" s="128">
        <v>25</v>
      </c>
      <c r="W123" s="128"/>
      <c r="Z123" s="103"/>
    </row>
    <row r="124" spans="9:26" x14ac:dyDescent="0.3">
      <c r="I124" s="128">
        <v>25</v>
      </c>
      <c r="J124" s="128"/>
      <c r="N124" s="128">
        <v>25</v>
      </c>
      <c r="O124" s="128"/>
      <c r="V124" s="128">
        <v>25</v>
      </c>
      <c r="W124" s="128"/>
      <c r="Z124" s="103"/>
    </row>
    <row r="125" spans="9:26" x14ac:dyDescent="0.3">
      <c r="I125" s="128">
        <v>25</v>
      </c>
      <c r="J125" s="128"/>
      <c r="N125" s="128">
        <v>25</v>
      </c>
      <c r="O125" s="128"/>
      <c r="V125" s="128">
        <v>25</v>
      </c>
      <c r="W125" s="128"/>
      <c r="Z125" s="103"/>
    </row>
    <row r="126" spans="9:26" x14ac:dyDescent="0.3">
      <c r="I126" s="128">
        <v>25</v>
      </c>
      <c r="J126" s="128"/>
      <c r="N126" s="128">
        <v>25</v>
      </c>
      <c r="O126" s="128"/>
      <c r="V126" s="128">
        <v>25</v>
      </c>
      <c r="W126" s="128"/>
      <c r="Z126" s="103"/>
    </row>
    <row r="127" spans="9:26" x14ac:dyDescent="0.3">
      <c r="I127" s="128">
        <v>25</v>
      </c>
      <c r="J127" s="128"/>
      <c r="N127" s="128">
        <v>25</v>
      </c>
      <c r="O127" s="128"/>
      <c r="V127" s="128">
        <v>25</v>
      </c>
      <c r="W127" s="128"/>
      <c r="Z127" s="103"/>
    </row>
    <row r="128" spans="9:26" x14ac:dyDescent="0.3">
      <c r="I128" s="128">
        <v>25</v>
      </c>
      <c r="J128" s="128"/>
      <c r="N128" s="128">
        <v>25</v>
      </c>
      <c r="O128" s="128"/>
      <c r="V128" s="128">
        <v>25</v>
      </c>
      <c r="W128" s="128"/>
      <c r="Z128" s="103"/>
    </row>
    <row r="129" spans="9:26" x14ac:dyDescent="0.3">
      <c r="I129" s="128">
        <v>25</v>
      </c>
      <c r="J129" s="128"/>
      <c r="N129" s="128">
        <v>25</v>
      </c>
      <c r="O129" s="128"/>
      <c r="V129" s="128">
        <v>25</v>
      </c>
      <c r="W129" s="128"/>
      <c r="Z129" s="103"/>
    </row>
    <row r="130" spans="9:26" x14ac:dyDescent="0.3">
      <c r="I130" s="128">
        <v>25</v>
      </c>
      <c r="J130" s="128"/>
      <c r="N130" s="128">
        <v>25</v>
      </c>
      <c r="O130" s="128"/>
      <c r="V130" s="128">
        <v>25</v>
      </c>
      <c r="W130" s="128"/>
      <c r="Z130" s="103"/>
    </row>
    <row r="131" spans="9:26" x14ac:dyDescent="0.3">
      <c r="I131" s="128">
        <v>25</v>
      </c>
      <c r="J131" s="128"/>
      <c r="N131" s="128">
        <v>25</v>
      </c>
      <c r="O131" s="128"/>
      <c r="V131" s="128">
        <v>25</v>
      </c>
      <c r="W131" s="128"/>
      <c r="Z131" s="103"/>
    </row>
    <row r="132" spans="9:26" x14ac:dyDescent="0.3">
      <c r="I132" s="128">
        <v>25</v>
      </c>
      <c r="J132" s="128"/>
      <c r="N132" s="128">
        <v>25</v>
      </c>
      <c r="O132" s="128"/>
      <c r="V132" s="128">
        <v>25</v>
      </c>
      <c r="W132" s="128"/>
      <c r="Z132" s="103"/>
    </row>
    <row r="133" spans="9:26" x14ac:dyDescent="0.3">
      <c r="I133" s="128">
        <v>25</v>
      </c>
      <c r="J133" s="128"/>
      <c r="N133" s="128">
        <v>25</v>
      </c>
      <c r="O133" s="128"/>
      <c r="V133" s="128">
        <v>25</v>
      </c>
      <c r="W133" s="128"/>
      <c r="Z133" s="103"/>
    </row>
    <row r="134" spans="9:26" x14ac:dyDescent="0.3">
      <c r="I134" s="128">
        <v>25</v>
      </c>
      <c r="J134" s="128"/>
      <c r="N134" s="128">
        <v>25</v>
      </c>
      <c r="O134" s="128"/>
      <c r="V134" s="128">
        <v>25</v>
      </c>
      <c r="W134" s="128"/>
      <c r="Z134" s="103"/>
    </row>
    <row r="135" spans="9:26" x14ac:dyDescent="0.3">
      <c r="I135" s="128">
        <v>25</v>
      </c>
      <c r="J135" s="128"/>
      <c r="N135" s="128">
        <v>25</v>
      </c>
      <c r="O135" s="128"/>
      <c r="V135" s="128">
        <v>25</v>
      </c>
      <c r="W135" s="128"/>
      <c r="Z135" s="103"/>
    </row>
    <row r="136" spans="9:26" x14ac:dyDescent="0.3">
      <c r="I136" s="128">
        <v>25</v>
      </c>
      <c r="J136" s="128"/>
      <c r="N136" s="128">
        <v>25</v>
      </c>
      <c r="O136" s="128"/>
      <c r="V136" s="128">
        <v>25</v>
      </c>
      <c r="W136" s="128"/>
      <c r="Z136" s="103"/>
    </row>
    <row r="137" spans="9:26" x14ac:dyDescent="0.3">
      <c r="I137" s="128">
        <v>25</v>
      </c>
      <c r="J137" s="128"/>
      <c r="N137" s="128">
        <v>25</v>
      </c>
      <c r="O137" s="128"/>
      <c r="V137" s="128">
        <v>25</v>
      </c>
      <c r="W137" s="128"/>
      <c r="Z137" s="103"/>
    </row>
    <row r="138" spans="9:26" x14ac:dyDescent="0.3">
      <c r="I138" s="128">
        <v>25</v>
      </c>
      <c r="J138" s="128"/>
      <c r="N138" s="128">
        <v>25</v>
      </c>
      <c r="O138" s="128"/>
      <c r="V138" s="128">
        <v>25</v>
      </c>
      <c r="W138" s="128"/>
      <c r="Z138" s="103"/>
    </row>
    <row r="139" spans="9:26" x14ac:dyDescent="0.3">
      <c r="I139" s="128">
        <v>25</v>
      </c>
      <c r="J139" s="128"/>
      <c r="N139" s="128">
        <v>25</v>
      </c>
      <c r="O139" s="128"/>
      <c r="V139" s="128">
        <v>25</v>
      </c>
      <c r="W139" s="128"/>
      <c r="Z139" s="103"/>
    </row>
    <row r="140" spans="9:26" x14ac:dyDescent="0.3">
      <c r="I140" s="128">
        <v>25</v>
      </c>
      <c r="J140" s="128"/>
      <c r="N140" s="128">
        <v>25</v>
      </c>
      <c r="O140" s="128"/>
      <c r="V140" s="128">
        <v>25</v>
      </c>
      <c r="W140" s="128"/>
      <c r="Z140" s="103"/>
    </row>
    <row r="141" spans="9:26" x14ac:dyDescent="0.3">
      <c r="I141" s="128">
        <v>25</v>
      </c>
      <c r="J141" s="128"/>
      <c r="N141" s="128">
        <v>25</v>
      </c>
      <c r="O141" s="128"/>
      <c r="V141" s="128">
        <v>25</v>
      </c>
      <c r="W141" s="128"/>
      <c r="Z141" s="103"/>
    </row>
    <row r="142" spans="9:26" x14ac:dyDescent="0.3">
      <c r="I142" s="128">
        <v>25</v>
      </c>
      <c r="J142" s="128"/>
      <c r="N142" s="128">
        <v>25</v>
      </c>
      <c r="O142" s="128"/>
      <c r="V142" s="128">
        <v>25</v>
      </c>
      <c r="W142" s="128"/>
      <c r="Z142" s="103"/>
    </row>
    <row r="143" spans="9:26" x14ac:dyDescent="0.3">
      <c r="I143" s="128">
        <v>25</v>
      </c>
      <c r="J143" s="128"/>
      <c r="N143" s="128">
        <v>25</v>
      </c>
      <c r="O143" s="128"/>
      <c r="V143" s="128">
        <v>25</v>
      </c>
      <c r="W143" s="128"/>
      <c r="Z143" s="103"/>
    </row>
    <row r="144" spans="9:26" x14ac:dyDescent="0.3">
      <c r="I144" s="128">
        <v>25</v>
      </c>
      <c r="J144" s="128"/>
      <c r="N144" s="128">
        <v>25</v>
      </c>
      <c r="O144" s="128"/>
      <c r="V144" s="128">
        <v>25</v>
      </c>
      <c r="W144" s="128"/>
      <c r="Z144" s="103"/>
    </row>
    <row r="145" spans="9:26" x14ac:dyDescent="0.3">
      <c r="I145" s="128">
        <v>25</v>
      </c>
      <c r="J145" s="128"/>
      <c r="N145" s="128">
        <v>25</v>
      </c>
      <c r="O145" s="128"/>
      <c r="V145" s="128">
        <v>25</v>
      </c>
      <c r="W145" s="128"/>
      <c r="Z145" s="103"/>
    </row>
    <row r="146" spans="9:26" x14ac:dyDescent="0.3">
      <c r="I146" s="128">
        <v>25</v>
      </c>
      <c r="J146" s="128"/>
      <c r="N146" s="128">
        <v>25</v>
      </c>
      <c r="O146" s="128"/>
      <c r="V146" s="128">
        <v>25</v>
      </c>
      <c r="W146" s="128"/>
      <c r="Z146" s="103"/>
    </row>
    <row r="147" spans="9:26" x14ac:dyDescent="0.3">
      <c r="I147" s="128">
        <v>25</v>
      </c>
      <c r="J147" s="128"/>
      <c r="N147" s="128">
        <v>25</v>
      </c>
      <c r="O147" s="128"/>
      <c r="V147" s="128">
        <v>25</v>
      </c>
      <c r="W147" s="128"/>
      <c r="Z147" s="103"/>
    </row>
    <row r="148" spans="9:26" x14ac:dyDescent="0.3">
      <c r="I148" s="128">
        <v>25</v>
      </c>
      <c r="J148" s="128"/>
      <c r="N148" s="128">
        <v>25</v>
      </c>
      <c r="O148" s="128"/>
      <c r="V148" s="128">
        <v>25</v>
      </c>
      <c r="W148" s="128"/>
      <c r="Z148" s="103"/>
    </row>
    <row r="149" spans="9:26" x14ac:dyDescent="0.3">
      <c r="I149" s="128">
        <v>25</v>
      </c>
      <c r="J149" s="128"/>
      <c r="N149" s="128">
        <v>25</v>
      </c>
      <c r="O149" s="128"/>
      <c r="V149" s="128">
        <v>25</v>
      </c>
      <c r="W149" s="128"/>
      <c r="Z149" s="103"/>
    </row>
    <row r="150" spans="9:26" x14ac:dyDescent="0.3">
      <c r="I150" s="128">
        <v>25</v>
      </c>
      <c r="J150" s="128"/>
      <c r="N150" s="128">
        <v>25</v>
      </c>
      <c r="O150" s="128"/>
      <c r="V150" s="128">
        <v>25</v>
      </c>
      <c r="W150" s="128"/>
      <c r="Z150" s="103"/>
    </row>
    <row r="151" spans="9:26" x14ac:dyDescent="0.3">
      <c r="I151" s="128">
        <v>25</v>
      </c>
      <c r="J151" s="128"/>
      <c r="N151" s="128">
        <v>25</v>
      </c>
      <c r="O151" s="128"/>
      <c r="V151" s="128">
        <v>25</v>
      </c>
      <c r="W151" s="128"/>
    </row>
    <row r="152" spans="9:26" x14ac:dyDescent="0.3">
      <c r="I152" s="128">
        <v>25</v>
      </c>
      <c r="J152" s="128"/>
      <c r="N152" s="128">
        <v>25</v>
      </c>
      <c r="O152" s="128"/>
      <c r="V152" s="128">
        <v>25</v>
      </c>
      <c r="W152" s="128"/>
    </row>
    <row r="153" spans="9:26" x14ac:dyDescent="0.3">
      <c r="I153" s="128">
        <v>25</v>
      </c>
      <c r="J153" s="128"/>
      <c r="N153" s="128">
        <v>25</v>
      </c>
      <c r="O153" s="128"/>
      <c r="V153" s="128">
        <v>25</v>
      </c>
      <c r="W153" s="128"/>
    </row>
    <row r="154" spans="9:26" x14ac:dyDescent="0.3">
      <c r="I154" s="128">
        <v>25</v>
      </c>
      <c r="J154" s="128"/>
      <c r="N154" s="128">
        <v>25</v>
      </c>
      <c r="O154" s="128"/>
      <c r="V154" s="128">
        <v>25</v>
      </c>
      <c r="W154" s="128"/>
    </row>
    <row r="155" spans="9:26" x14ac:dyDescent="0.3">
      <c r="I155" s="128">
        <v>25</v>
      </c>
      <c r="J155" s="128"/>
      <c r="N155" s="128">
        <v>25</v>
      </c>
      <c r="O155" s="128"/>
      <c r="V155" s="128">
        <v>25</v>
      </c>
      <c r="W155" s="128"/>
    </row>
    <row r="156" spans="9:26" x14ac:dyDescent="0.3">
      <c r="I156" s="128">
        <v>25</v>
      </c>
      <c r="J156" s="128"/>
      <c r="N156" s="128">
        <v>25</v>
      </c>
      <c r="O156" s="128"/>
      <c r="V156" s="128">
        <v>25</v>
      </c>
      <c r="W156" s="128"/>
    </row>
    <row r="157" spans="9:26" x14ac:dyDescent="0.3">
      <c r="I157" s="128">
        <v>25</v>
      </c>
      <c r="J157" s="128"/>
      <c r="N157" s="128">
        <v>25</v>
      </c>
      <c r="O157" s="128"/>
      <c r="V157" s="128">
        <v>25</v>
      </c>
      <c r="W157" s="128"/>
    </row>
    <row r="158" spans="9:26" x14ac:dyDescent="0.3">
      <c r="I158" s="128">
        <v>25</v>
      </c>
      <c r="J158" s="128"/>
      <c r="N158" s="128">
        <v>25</v>
      </c>
      <c r="O158" s="128"/>
      <c r="V158" s="128">
        <v>25</v>
      </c>
      <c r="W158" s="128"/>
    </row>
    <row r="159" spans="9:26" x14ac:dyDescent="0.3">
      <c r="I159" s="128">
        <v>25</v>
      </c>
      <c r="J159" s="128"/>
      <c r="N159" s="128">
        <v>25</v>
      </c>
      <c r="O159" s="128"/>
      <c r="V159" s="128">
        <v>25</v>
      </c>
      <c r="W159" s="128"/>
    </row>
    <row r="160" spans="9:26" x14ac:dyDescent="0.3">
      <c r="I160" s="128">
        <v>25</v>
      </c>
      <c r="J160" s="128"/>
      <c r="N160" s="128">
        <v>25</v>
      </c>
      <c r="O160" s="128"/>
      <c r="V160" s="128">
        <v>25</v>
      </c>
      <c r="W160" s="128"/>
    </row>
    <row r="161" spans="9:23" x14ac:dyDescent="0.3">
      <c r="I161" s="128">
        <v>25</v>
      </c>
      <c r="J161" s="128"/>
      <c r="N161" s="128">
        <v>25</v>
      </c>
      <c r="O161" s="128"/>
      <c r="V161" s="128">
        <v>25</v>
      </c>
      <c r="W161" s="128"/>
    </row>
    <row r="162" spans="9:23" x14ac:dyDescent="0.3">
      <c r="I162" s="128">
        <v>25</v>
      </c>
      <c r="J162" s="128"/>
      <c r="N162" s="128">
        <v>25</v>
      </c>
      <c r="O162" s="128"/>
      <c r="V162" s="128">
        <v>25</v>
      </c>
      <c r="W162" s="128"/>
    </row>
    <row r="163" spans="9:23" x14ac:dyDescent="0.3">
      <c r="I163" s="128">
        <v>25</v>
      </c>
      <c r="J163" s="128"/>
      <c r="N163" s="128">
        <v>25</v>
      </c>
      <c r="O163" s="128"/>
      <c r="V163" s="128">
        <v>25</v>
      </c>
      <c r="W163" s="128"/>
    </row>
    <row r="164" spans="9:23" x14ac:dyDescent="0.3">
      <c r="I164" s="128">
        <v>25</v>
      </c>
      <c r="J164" s="128"/>
      <c r="N164" s="128">
        <v>25</v>
      </c>
      <c r="O164" s="128"/>
      <c r="V164" s="128">
        <v>25</v>
      </c>
      <c r="W164" s="128"/>
    </row>
    <row r="165" spans="9:23" x14ac:dyDescent="0.3">
      <c r="I165" s="128">
        <v>25</v>
      </c>
      <c r="J165" s="128"/>
      <c r="N165" s="128">
        <v>25</v>
      </c>
      <c r="O165" s="128"/>
      <c r="V165" s="128">
        <v>25</v>
      </c>
      <c r="W165" s="128"/>
    </row>
    <row r="166" spans="9:23" x14ac:dyDescent="0.3">
      <c r="I166" s="128">
        <v>25</v>
      </c>
      <c r="J166" s="128"/>
      <c r="N166" s="128">
        <v>25</v>
      </c>
      <c r="O166" s="128"/>
      <c r="V166" s="128">
        <v>25</v>
      </c>
      <c r="W166" s="128"/>
    </row>
    <row r="167" spans="9:23" x14ac:dyDescent="0.3">
      <c r="I167" s="128">
        <v>25</v>
      </c>
      <c r="J167" s="128"/>
      <c r="N167" s="128">
        <v>25</v>
      </c>
      <c r="O167" s="128"/>
      <c r="V167" s="128">
        <v>25</v>
      </c>
      <c r="W167" s="128"/>
    </row>
    <row r="168" spans="9:23" x14ac:dyDescent="0.3">
      <c r="I168" s="128">
        <v>25</v>
      </c>
      <c r="J168" s="128"/>
      <c r="N168" s="128">
        <v>25</v>
      </c>
      <c r="O168" s="128"/>
      <c r="V168" s="128">
        <v>25</v>
      </c>
      <c r="W168" s="128"/>
    </row>
    <row r="169" spans="9:23" x14ac:dyDescent="0.3">
      <c r="I169" s="128">
        <v>25</v>
      </c>
      <c r="J169" s="128"/>
      <c r="N169" s="128">
        <v>25</v>
      </c>
      <c r="O169" s="128"/>
      <c r="V169" s="128">
        <v>25</v>
      </c>
      <c r="W169" s="128"/>
    </row>
    <row r="170" spans="9:23" x14ac:dyDescent="0.3">
      <c r="I170" s="128">
        <v>25</v>
      </c>
      <c r="J170" s="128"/>
      <c r="N170" s="128">
        <v>25</v>
      </c>
      <c r="O170" s="128"/>
      <c r="V170" s="128">
        <v>25</v>
      </c>
      <c r="W170" s="128"/>
    </row>
    <row r="171" spans="9:23" x14ac:dyDescent="0.3">
      <c r="I171" s="128">
        <v>25</v>
      </c>
      <c r="J171" s="128"/>
      <c r="N171" s="128">
        <v>25</v>
      </c>
      <c r="O171" s="128"/>
      <c r="V171" s="128">
        <v>25</v>
      </c>
      <c r="W171" s="128"/>
    </row>
    <row r="172" spans="9:23" x14ac:dyDescent="0.3">
      <c r="I172" s="128">
        <v>25</v>
      </c>
      <c r="J172" s="128"/>
      <c r="N172" s="128">
        <v>25</v>
      </c>
      <c r="O172" s="128"/>
      <c r="V172" s="128">
        <v>25</v>
      </c>
      <c r="W172" s="128"/>
    </row>
    <row r="173" spans="9:23" x14ac:dyDescent="0.3">
      <c r="I173" s="128">
        <v>25</v>
      </c>
      <c r="J173" s="128"/>
      <c r="N173" s="128">
        <v>25</v>
      </c>
      <c r="O173" s="128"/>
      <c r="V173" s="128">
        <v>25</v>
      </c>
      <c r="W173" s="128"/>
    </row>
    <row r="174" spans="9:23" x14ac:dyDescent="0.3">
      <c r="I174" s="128">
        <v>25</v>
      </c>
      <c r="J174" s="128"/>
      <c r="N174" s="128">
        <v>25</v>
      </c>
      <c r="O174" s="128"/>
      <c r="V174" s="128">
        <v>25</v>
      </c>
      <c r="W174" s="128"/>
    </row>
    <row r="175" spans="9:23" x14ac:dyDescent="0.3">
      <c r="I175" s="128">
        <v>25</v>
      </c>
      <c r="J175" s="128"/>
      <c r="N175" s="128">
        <v>25</v>
      </c>
      <c r="O175" s="128"/>
      <c r="V175" s="128">
        <v>25</v>
      </c>
      <c r="W175" s="128"/>
    </row>
    <row r="176" spans="9:23" x14ac:dyDescent="0.3">
      <c r="I176" s="128">
        <v>25</v>
      </c>
      <c r="J176" s="128"/>
      <c r="N176" s="128">
        <v>25</v>
      </c>
      <c r="O176" s="128"/>
      <c r="V176" s="128">
        <v>25</v>
      </c>
      <c r="W176" s="128"/>
    </row>
    <row r="177" spans="9:23" x14ac:dyDescent="0.3">
      <c r="I177" s="128">
        <v>25</v>
      </c>
      <c r="J177" s="128"/>
      <c r="N177" s="128">
        <v>25</v>
      </c>
      <c r="O177" s="128"/>
      <c r="V177" s="128">
        <v>25</v>
      </c>
      <c r="W177" s="128"/>
    </row>
    <row r="178" spans="9:23" x14ac:dyDescent="0.3">
      <c r="I178" s="128">
        <v>25</v>
      </c>
      <c r="J178" s="128"/>
      <c r="N178" s="128">
        <v>25</v>
      </c>
      <c r="O178" s="128"/>
      <c r="V178" s="128">
        <v>25</v>
      </c>
      <c r="W178" s="128"/>
    </row>
    <row r="179" spans="9:23" x14ac:dyDescent="0.3">
      <c r="I179" s="128">
        <v>25</v>
      </c>
      <c r="J179" s="128"/>
      <c r="N179" s="128">
        <v>25</v>
      </c>
      <c r="O179" s="128"/>
      <c r="V179" s="128">
        <v>25</v>
      </c>
      <c r="W179" s="128"/>
    </row>
    <row r="180" spans="9:23" x14ac:dyDescent="0.3">
      <c r="I180" s="128">
        <v>25</v>
      </c>
      <c r="J180" s="128"/>
      <c r="N180" s="128">
        <v>25</v>
      </c>
      <c r="O180" s="128"/>
      <c r="V180" s="128">
        <v>25</v>
      </c>
      <c r="W180" s="128"/>
    </row>
    <row r="181" spans="9:23" x14ac:dyDescent="0.3">
      <c r="I181" s="128">
        <v>25</v>
      </c>
      <c r="J181" s="128"/>
      <c r="N181" s="128">
        <v>25</v>
      </c>
      <c r="O181" s="128"/>
      <c r="V181" s="128">
        <v>25</v>
      </c>
      <c r="W181" s="128"/>
    </row>
    <row r="182" spans="9:23" x14ac:dyDescent="0.3">
      <c r="I182" s="128">
        <v>25</v>
      </c>
      <c r="J182" s="128"/>
      <c r="N182" s="128">
        <v>25</v>
      </c>
      <c r="O182" s="128"/>
      <c r="V182" s="128">
        <v>25</v>
      </c>
      <c r="W182" s="128"/>
    </row>
    <row r="183" spans="9:23" x14ac:dyDescent="0.3">
      <c r="I183" s="128">
        <v>25</v>
      </c>
      <c r="J183" s="128"/>
      <c r="N183" s="128">
        <v>25</v>
      </c>
      <c r="O183" s="128"/>
      <c r="V183" s="128">
        <v>25</v>
      </c>
      <c r="W183" s="128"/>
    </row>
    <row r="184" spans="9:23" x14ac:dyDescent="0.3">
      <c r="I184" s="128">
        <v>25</v>
      </c>
      <c r="J184" s="128"/>
      <c r="N184" s="128">
        <v>25</v>
      </c>
      <c r="O184" s="128"/>
      <c r="V184" s="128">
        <v>25</v>
      </c>
      <c r="W184" s="128"/>
    </row>
    <row r="185" spans="9:23" x14ac:dyDescent="0.3">
      <c r="I185" s="128">
        <v>25</v>
      </c>
      <c r="J185" s="128"/>
      <c r="N185" s="128">
        <v>25</v>
      </c>
      <c r="O185" s="128"/>
      <c r="V185" s="128">
        <v>25</v>
      </c>
      <c r="W185" s="128"/>
    </row>
    <row r="186" spans="9:23" x14ac:dyDescent="0.3">
      <c r="I186" s="128">
        <v>25</v>
      </c>
      <c r="J186" s="128"/>
      <c r="N186" s="128">
        <v>25</v>
      </c>
      <c r="O186" s="128"/>
      <c r="V186" s="128">
        <v>25</v>
      </c>
      <c r="W186" s="128"/>
    </row>
    <row r="187" spans="9:23" x14ac:dyDescent="0.3">
      <c r="I187" s="128">
        <v>25</v>
      </c>
      <c r="J187" s="128"/>
      <c r="N187" s="128">
        <v>25</v>
      </c>
      <c r="O187" s="128"/>
      <c r="V187" s="128">
        <v>25</v>
      </c>
      <c r="W187" s="128"/>
    </row>
    <row r="188" spans="9:23" x14ac:dyDescent="0.3">
      <c r="I188" s="128">
        <v>25</v>
      </c>
      <c r="J188" s="128"/>
      <c r="N188" s="128">
        <v>25</v>
      </c>
      <c r="O188" s="128"/>
      <c r="V188" s="128">
        <v>25</v>
      </c>
      <c r="W188" s="128"/>
    </row>
    <row r="189" spans="9:23" x14ac:dyDescent="0.3">
      <c r="I189" s="128">
        <v>25</v>
      </c>
      <c r="J189" s="128"/>
      <c r="N189" s="128">
        <v>25</v>
      </c>
      <c r="O189" s="128"/>
      <c r="V189" s="128">
        <v>25</v>
      </c>
      <c r="W189" s="128"/>
    </row>
    <row r="190" spans="9:23" x14ac:dyDescent="0.3">
      <c r="I190" s="128">
        <v>25</v>
      </c>
      <c r="J190" s="128"/>
      <c r="N190" s="128">
        <v>25</v>
      </c>
      <c r="O190" s="128"/>
      <c r="V190" s="128">
        <v>25</v>
      </c>
      <c r="W190" s="128"/>
    </row>
    <row r="191" spans="9:23" x14ac:dyDescent="0.3">
      <c r="I191" s="128">
        <v>25</v>
      </c>
      <c r="J191" s="128"/>
      <c r="N191" s="128">
        <v>25</v>
      </c>
      <c r="O191" s="128"/>
      <c r="V191" s="128">
        <v>25</v>
      </c>
      <c r="W191" s="128"/>
    </row>
    <row r="192" spans="9:23" x14ac:dyDescent="0.3">
      <c r="I192" s="128">
        <v>25</v>
      </c>
      <c r="J192" s="128"/>
      <c r="N192" s="128">
        <v>25</v>
      </c>
      <c r="O192" s="128"/>
      <c r="V192" s="128">
        <v>25</v>
      </c>
      <c r="W192" s="128"/>
    </row>
    <row r="193" spans="9:23" x14ac:dyDescent="0.3">
      <c r="I193" s="128">
        <v>25</v>
      </c>
      <c r="J193" s="128"/>
      <c r="N193" s="128">
        <v>25</v>
      </c>
      <c r="O193" s="128"/>
      <c r="V193" s="128">
        <v>25</v>
      </c>
      <c r="W193" s="128"/>
    </row>
    <row r="194" spans="9:23" x14ac:dyDescent="0.3">
      <c r="I194" s="128">
        <v>25</v>
      </c>
      <c r="J194" s="128"/>
      <c r="N194" s="128">
        <v>25</v>
      </c>
      <c r="O194" s="128"/>
      <c r="V194" s="128">
        <v>25</v>
      </c>
      <c r="W194" s="128"/>
    </row>
  </sheetData>
  <sheetProtection formatCells="0" formatColumns="0" formatRows="0" insertRows="0" insertHyperlinks="0" deleteRows="0" selectLockedCells="1" sort="0" autoFilter="0"/>
  <hyperlinks>
    <hyperlink ref="E3" r:id="rId1" xr:uid="{371E334A-5528-4E8F-9904-F830DA30AFB6}"/>
  </hyperlinks>
  <printOptions horizontalCentered="1"/>
  <pageMargins left="0.70866141732283472" right="0.70866141732283472" top="0.74803149606299213" bottom="0.74803149606299213" header="0.31496062992125984" footer="0.31496062992125984"/>
  <pageSetup paperSize="8" scale="27" fitToHeight="0" orientation="landscape" horizontalDpi="4294967292" r:id="rId2"/>
  <headerFooter>
    <oddHeader>&amp;R&amp;28https://namkyodai.github.io&amp;L&amp;44 &amp;BCEBU 20 MLD DESALINATION WATER TREATMENT PLANT - RISK MANAGEMENT PLAN</oddHeader>
    <oddFooter>&amp;R&amp;28&amp;C&amp;28</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35" r:id="rId5" name="Button 63">
              <controlPr defaultSize="0" print="0" autoFill="0" autoPict="0" macro="[0]!Module2.Module2">
                <anchor moveWithCells="1" sizeWithCells="1">
                  <from>
                    <xdr:col>3</xdr:col>
                    <xdr:colOff>5341620</xdr:colOff>
                    <xdr:row>1</xdr:row>
                    <xdr:rowOff>259080</xdr:rowOff>
                  </from>
                  <to>
                    <xdr:col>3</xdr:col>
                    <xdr:colOff>7658100</xdr:colOff>
                    <xdr:row>2</xdr:row>
                    <xdr:rowOff>411480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2000000}">
          <x14:formula1>
            <xm:f>Definition!$C$27:$C$31</xm:f>
          </x14:formula1>
          <xm:sqref>M6:M101 U6:U101</xm:sqref>
        </x14:dataValidation>
        <x14:dataValidation type="list" allowBlank="1" showInputMessage="1" showErrorMessage="1" xr:uid="{00000000-0002-0000-0100-000004000000}">
          <x14:formula1>
            <xm:f>Definition!$C$19:$C$23</xm:f>
          </x14:formula1>
          <xm:sqref>T6:T101 G6:H101 L6:L101</xm:sqref>
        </x14:dataValidation>
        <x14:dataValidation type="list" allowBlank="1" showInputMessage="1" showErrorMessage="1" xr:uid="{64F279B7-C75B-4DD3-AFDC-586333842244}">
          <x14:formula1>
            <xm:f>DataFields!$C$4:$C$14</xm:f>
          </x14:formula1>
          <xm:sqref>C6:C101</xm:sqref>
        </x14:dataValidation>
        <x14:dataValidation type="list" allowBlank="1" showInputMessage="1" showErrorMessage="1" xr:uid="{1C540618-0BA8-42B0-9A94-59E9A6190C9C}">
          <x14:formula1>
            <xm:f>DataFields!$C$18:$C$22</xm:f>
          </x14:formula1>
          <xm:sqref>B6:B101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T51"/>
  <sheetViews>
    <sheetView workbookViewId="0">
      <selection activeCell="H9" sqref="H9"/>
    </sheetView>
  </sheetViews>
  <sheetFormatPr defaultColWidth="9.109375" defaultRowHeight="14.4" x14ac:dyDescent="0.3"/>
  <cols>
    <col min="1" max="1" width="9.109375" style="60"/>
    <col min="2" max="2" width="14" style="60" bestFit="1" customWidth="1"/>
    <col min="3" max="3" width="5.5546875" style="60" bestFit="1" customWidth="1"/>
    <col min="4" max="8" width="12.5546875" style="60" customWidth="1"/>
    <col min="9" max="9" width="9.109375" style="60"/>
    <col min="10" max="16" width="5.5546875" style="60" customWidth="1"/>
    <col min="17" max="16384" width="9.109375" style="60"/>
  </cols>
  <sheetData>
    <row r="4" spans="2:20" x14ac:dyDescent="0.3">
      <c r="B4" s="59" t="s">
        <v>66</v>
      </c>
    </row>
    <row r="6" spans="2:20" x14ac:dyDescent="0.3">
      <c r="B6" s="61" t="s">
        <v>0</v>
      </c>
      <c r="C6" s="62"/>
      <c r="D6" s="62"/>
      <c r="E6" s="62"/>
      <c r="F6" s="62"/>
      <c r="G6" s="62"/>
      <c r="H6" s="62"/>
      <c r="I6" s="63"/>
      <c r="M6" s="63"/>
      <c r="T6" s="63"/>
    </row>
    <row r="7" spans="2:20" x14ac:dyDescent="0.3">
      <c r="B7" s="64" t="s">
        <v>1</v>
      </c>
      <c r="C7" s="65"/>
      <c r="D7" s="66" t="s">
        <v>7</v>
      </c>
      <c r="E7" s="66"/>
      <c r="F7" s="66"/>
      <c r="G7" s="66"/>
      <c r="H7" s="66"/>
      <c r="I7" s="63"/>
      <c r="M7" s="63"/>
      <c r="T7" s="63"/>
    </row>
    <row r="8" spans="2:20" x14ac:dyDescent="0.3">
      <c r="B8" s="67"/>
      <c r="C8" s="68"/>
      <c r="D8" s="69" t="str">
        <f>B31</f>
        <v>Minor</v>
      </c>
      <c r="E8" s="69" t="str">
        <f>B30</f>
        <v>Major</v>
      </c>
      <c r="F8" s="69" t="str">
        <f>B29</f>
        <v>Severe</v>
      </c>
      <c r="G8" s="69" t="str">
        <f>B28</f>
        <v>Critical</v>
      </c>
      <c r="H8" s="69" t="str">
        <f>B27</f>
        <v>Catastrophic</v>
      </c>
      <c r="I8" s="63"/>
      <c r="M8" s="63"/>
      <c r="T8" s="63"/>
    </row>
    <row r="9" spans="2:20" x14ac:dyDescent="0.3">
      <c r="B9" s="70"/>
      <c r="C9" s="71" t="s">
        <v>14</v>
      </c>
      <c r="D9" s="72">
        <f>C31</f>
        <v>1</v>
      </c>
      <c r="E9" s="72">
        <f>C30</f>
        <v>2</v>
      </c>
      <c r="F9" s="72">
        <f>C29</f>
        <v>3</v>
      </c>
      <c r="G9" s="72">
        <f>C28</f>
        <v>4</v>
      </c>
      <c r="H9" s="72">
        <f>C27</f>
        <v>5</v>
      </c>
      <c r="I9" s="63"/>
      <c r="M9" s="63"/>
      <c r="T9" s="63"/>
    </row>
    <row r="10" spans="2:20" ht="24.9" customHeight="1" x14ac:dyDescent="0.3">
      <c r="B10" s="67" t="str">
        <f t="shared" ref="B10:C14" si="0">B19</f>
        <v>Almost certain</v>
      </c>
      <c r="C10" s="68">
        <f t="shared" si="0"/>
        <v>5</v>
      </c>
      <c r="D10" s="107">
        <v>8</v>
      </c>
      <c r="E10" s="109">
        <v>18</v>
      </c>
      <c r="F10" s="109">
        <v>20</v>
      </c>
      <c r="G10" s="73">
        <v>22</v>
      </c>
      <c r="H10" s="73">
        <v>25</v>
      </c>
      <c r="I10" s="63"/>
      <c r="M10" s="63"/>
      <c r="T10" s="63"/>
    </row>
    <row r="11" spans="2:20" ht="24.9" customHeight="1" x14ac:dyDescent="0.3">
      <c r="B11" s="67" t="str">
        <f t="shared" si="0"/>
        <v>Likely</v>
      </c>
      <c r="C11" s="68">
        <f t="shared" si="0"/>
        <v>4</v>
      </c>
      <c r="D11" s="74">
        <v>7</v>
      </c>
      <c r="E11" s="107">
        <v>9</v>
      </c>
      <c r="F11" s="107">
        <v>16</v>
      </c>
      <c r="G11" s="73">
        <v>21</v>
      </c>
      <c r="H11" s="73">
        <v>24</v>
      </c>
      <c r="I11" s="63"/>
      <c r="M11" s="63"/>
      <c r="T11" s="63"/>
    </row>
    <row r="12" spans="2:20" ht="24.9" customHeight="1" x14ac:dyDescent="0.3">
      <c r="B12" s="67" t="str">
        <f t="shared" si="0"/>
        <v>Possible</v>
      </c>
      <c r="C12" s="68">
        <f t="shared" si="0"/>
        <v>3</v>
      </c>
      <c r="D12" s="74">
        <v>4</v>
      </c>
      <c r="E12" s="74">
        <v>6</v>
      </c>
      <c r="F12" s="107">
        <v>12</v>
      </c>
      <c r="G12" s="73">
        <v>17</v>
      </c>
      <c r="H12" s="73">
        <v>23</v>
      </c>
      <c r="I12" s="63"/>
      <c r="M12" s="63"/>
      <c r="T12" s="63"/>
    </row>
    <row r="13" spans="2:20" ht="24.9" customHeight="1" x14ac:dyDescent="0.3">
      <c r="B13" s="67" t="str">
        <f t="shared" si="0"/>
        <v>Unlikely</v>
      </c>
      <c r="C13" s="68">
        <f t="shared" si="0"/>
        <v>2</v>
      </c>
      <c r="D13" s="74">
        <v>2</v>
      </c>
      <c r="E13" s="74">
        <v>5</v>
      </c>
      <c r="F13" s="107">
        <v>11</v>
      </c>
      <c r="G13" s="107">
        <v>15</v>
      </c>
      <c r="H13" s="109">
        <v>19</v>
      </c>
      <c r="I13" s="63"/>
      <c r="M13" s="63"/>
      <c r="T13" s="63"/>
    </row>
    <row r="14" spans="2:20" ht="24.9" customHeight="1" x14ac:dyDescent="0.3">
      <c r="B14" s="75" t="str">
        <f t="shared" si="0"/>
        <v>Very unlikely</v>
      </c>
      <c r="C14" s="71">
        <f t="shared" si="0"/>
        <v>1</v>
      </c>
      <c r="D14" s="74">
        <v>1</v>
      </c>
      <c r="E14" s="74">
        <v>3</v>
      </c>
      <c r="F14" s="123">
        <v>10</v>
      </c>
      <c r="G14" s="108">
        <v>13</v>
      </c>
      <c r="H14" s="108">
        <v>14</v>
      </c>
      <c r="I14" s="63"/>
      <c r="J14" s="60" t="s">
        <v>171</v>
      </c>
      <c r="M14" s="63"/>
      <c r="T14" s="63"/>
    </row>
    <row r="15" spans="2:20" x14ac:dyDescent="0.3">
      <c r="I15" s="63"/>
      <c r="M15" s="63"/>
      <c r="T15" s="63"/>
    </row>
    <row r="16" spans="2:20" x14ac:dyDescent="0.3">
      <c r="I16" s="63"/>
      <c r="M16" s="63"/>
      <c r="T16" s="63"/>
    </row>
    <row r="17" spans="2:20" x14ac:dyDescent="0.3">
      <c r="B17" s="61" t="s">
        <v>40</v>
      </c>
      <c r="C17" s="62"/>
      <c r="D17" s="62"/>
      <c r="E17" s="62"/>
      <c r="F17" s="62"/>
      <c r="G17" s="62"/>
      <c r="H17" s="62"/>
      <c r="I17" s="63"/>
      <c r="M17" s="63"/>
      <c r="T17" s="63"/>
    </row>
    <row r="18" spans="2:20" ht="28.8" x14ac:dyDescent="0.3">
      <c r="B18" s="76" t="s">
        <v>13</v>
      </c>
      <c r="C18" s="77" t="s">
        <v>14</v>
      </c>
      <c r="D18" s="129" t="s">
        <v>15</v>
      </c>
      <c r="E18" s="130"/>
      <c r="F18" s="130"/>
      <c r="G18" s="130"/>
      <c r="H18" s="131"/>
      <c r="I18" s="63"/>
      <c r="M18" s="63"/>
      <c r="T18" s="63"/>
    </row>
    <row r="19" spans="2:20" ht="20.100000000000001" customHeight="1" x14ac:dyDescent="0.3">
      <c r="B19" s="40" t="s">
        <v>2</v>
      </c>
      <c r="C19" s="78">
        <v>5</v>
      </c>
      <c r="D19" s="132" t="s">
        <v>16</v>
      </c>
      <c r="E19" s="133"/>
      <c r="F19" s="133"/>
      <c r="G19" s="133"/>
      <c r="H19" s="134"/>
      <c r="I19" s="63"/>
      <c r="M19" s="63"/>
      <c r="T19" s="63"/>
    </row>
    <row r="20" spans="2:20" ht="20.100000000000001" customHeight="1" x14ac:dyDescent="0.3">
      <c r="B20" s="40" t="s">
        <v>3</v>
      </c>
      <c r="C20" s="78">
        <v>4</v>
      </c>
      <c r="D20" s="132" t="s">
        <v>17</v>
      </c>
      <c r="E20" s="133"/>
      <c r="F20" s="133"/>
      <c r="G20" s="133"/>
      <c r="H20" s="134"/>
      <c r="I20" s="63"/>
      <c r="M20" s="63"/>
      <c r="T20" s="63"/>
    </row>
    <row r="21" spans="2:20" ht="20.100000000000001" customHeight="1" x14ac:dyDescent="0.3">
      <c r="B21" s="40" t="s">
        <v>4</v>
      </c>
      <c r="C21" s="78">
        <v>3</v>
      </c>
      <c r="D21" s="132" t="s">
        <v>18</v>
      </c>
      <c r="E21" s="133"/>
      <c r="F21" s="133"/>
      <c r="G21" s="133"/>
      <c r="H21" s="134"/>
      <c r="I21" s="63"/>
      <c r="M21" s="63"/>
      <c r="T21" s="63"/>
    </row>
    <row r="22" spans="2:20" ht="20.100000000000001" customHeight="1" x14ac:dyDescent="0.3">
      <c r="B22" s="40" t="s">
        <v>5</v>
      </c>
      <c r="C22" s="78">
        <v>2</v>
      </c>
      <c r="D22" s="132" t="s">
        <v>19</v>
      </c>
      <c r="E22" s="133"/>
      <c r="F22" s="133"/>
      <c r="G22" s="133"/>
      <c r="H22" s="134"/>
      <c r="I22" s="63"/>
      <c r="M22" s="63"/>
      <c r="T22" s="63"/>
    </row>
    <row r="23" spans="2:20" ht="21" customHeight="1" x14ac:dyDescent="0.3">
      <c r="B23" s="40" t="s">
        <v>6</v>
      </c>
      <c r="C23" s="78">
        <v>1</v>
      </c>
      <c r="D23" s="132" t="s">
        <v>20</v>
      </c>
      <c r="E23" s="133"/>
      <c r="F23" s="133"/>
      <c r="G23" s="133"/>
      <c r="H23" s="134"/>
      <c r="I23" s="63"/>
      <c r="M23" s="63"/>
      <c r="T23" s="63"/>
    </row>
    <row r="24" spans="2:20" ht="21" customHeight="1" x14ac:dyDescent="0.3">
      <c r="B24" s="17"/>
      <c r="C24" s="79"/>
      <c r="D24" s="80"/>
      <c r="E24" s="80"/>
      <c r="F24" s="80"/>
      <c r="G24" s="80"/>
      <c r="H24" s="80"/>
      <c r="I24" s="63"/>
      <c r="M24" s="63"/>
      <c r="T24" s="63"/>
    </row>
    <row r="25" spans="2:20" ht="20.100000000000001" customHeight="1" x14ac:dyDescent="0.3">
      <c r="B25" s="61" t="s">
        <v>41</v>
      </c>
      <c r="C25" s="62"/>
      <c r="D25" s="62"/>
      <c r="E25" s="62"/>
      <c r="F25" s="62"/>
      <c r="G25" s="62"/>
      <c r="H25" s="62"/>
      <c r="I25" s="63"/>
      <c r="M25" s="63"/>
      <c r="T25" s="63"/>
    </row>
    <row r="26" spans="2:20" ht="20.100000000000001" customHeight="1" x14ac:dyDescent="0.3">
      <c r="B26" s="81" t="s">
        <v>7</v>
      </c>
      <c r="C26" s="81" t="str">
        <f>C18</f>
        <v>Scale</v>
      </c>
      <c r="D26" s="129" t="str">
        <f>D18</f>
        <v>Definition</v>
      </c>
      <c r="E26" s="130"/>
      <c r="F26" s="130"/>
      <c r="G26" s="130"/>
      <c r="H26" s="131"/>
      <c r="I26" s="63"/>
      <c r="M26" s="63"/>
      <c r="T26" s="63"/>
    </row>
    <row r="27" spans="2:20" ht="27.75" customHeight="1" x14ac:dyDescent="0.3">
      <c r="B27" s="40" t="s">
        <v>12</v>
      </c>
      <c r="C27" s="78">
        <v>5</v>
      </c>
      <c r="D27" s="132" t="s">
        <v>21</v>
      </c>
      <c r="E27" s="133"/>
      <c r="F27" s="133"/>
      <c r="G27" s="133"/>
      <c r="H27" s="134"/>
      <c r="I27" s="63"/>
      <c r="M27" s="63"/>
      <c r="T27" s="63"/>
    </row>
    <row r="28" spans="2:20" ht="33" customHeight="1" x14ac:dyDescent="0.3">
      <c r="B28" s="40" t="s">
        <v>11</v>
      </c>
      <c r="C28" s="78">
        <v>4</v>
      </c>
      <c r="D28" s="132" t="s">
        <v>22</v>
      </c>
      <c r="E28" s="133"/>
      <c r="F28" s="133"/>
      <c r="G28" s="133"/>
      <c r="H28" s="134"/>
      <c r="I28" s="63"/>
      <c r="M28" s="63"/>
      <c r="T28" s="63"/>
    </row>
    <row r="29" spans="2:20" ht="50.25" customHeight="1" x14ac:dyDescent="0.3">
      <c r="B29" s="40" t="s">
        <v>10</v>
      </c>
      <c r="C29" s="78">
        <v>3</v>
      </c>
      <c r="D29" s="132" t="s">
        <v>23</v>
      </c>
      <c r="E29" s="133"/>
      <c r="F29" s="133"/>
      <c r="G29" s="133"/>
      <c r="H29" s="134"/>
      <c r="I29" s="63"/>
      <c r="M29" s="63"/>
      <c r="T29" s="63"/>
    </row>
    <row r="30" spans="2:20" ht="36" customHeight="1" x14ac:dyDescent="0.3">
      <c r="B30" s="40" t="s">
        <v>9</v>
      </c>
      <c r="C30" s="78">
        <v>2</v>
      </c>
      <c r="D30" s="132" t="s">
        <v>24</v>
      </c>
      <c r="E30" s="133"/>
      <c r="F30" s="133"/>
      <c r="G30" s="133"/>
      <c r="H30" s="134"/>
      <c r="I30" s="63"/>
      <c r="M30" s="63"/>
      <c r="T30" s="63"/>
    </row>
    <row r="31" spans="2:20" ht="37.5" customHeight="1" x14ac:dyDescent="0.3">
      <c r="B31" s="40" t="s">
        <v>8</v>
      </c>
      <c r="C31" s="78">
        <v>1</v>
      </c>
      <c r="D31" s="132" t="s">
        <v>25</v>
      </c>
      <c r="E31" s="133"/>
      <c r="F31" s="133"/>
      <c r="G31" s="133"/>
      <c r="H31" s="134"/>
      <c r="I31" s="63"/>
      <c r="M31" s="63"/>
      <c r="T31" s="63"/>
    </row>
    <row r="32" spans="2:20" x14ac:dyDescent="0.3">
      <c r="I32" s="63"/>
      <c r="M32" s="63"/>
      <c r="T32" s="63"/>
    </row>
    <row r="33" spans="2:20" x14ac:dyDescent="0.3">
      <c r="B33" s="17" t="s">
        <v>42</v>
      </c>
      <c r="I33" s="63"/>
      <c r="M33" s="63"/>
      <c r="T33" s="63"/>
    </row>
    <row r="34" spans="2:20" x14ac:dyDescent="0.3">
      <c r="I34" s="63"/>
      <c r="M34" s="63"/>
      <c r="T34" s="63"/>
    </row>
    <row r="35" spans="2:20" x14ac:dyDescent="0.3">
      <c r="I35" s="63"/>
      <c r="M35" s="63"/>
      <c r="T35" s="63"/>
    </row>
    <row r="36" spans="2:20" x14ac:dyDescent="0.3">
      <c r="I36" s="63"/>
      <c r="M36" s="63"/>
      <c r="T36" s="63"/>
    </row>
    <row r="37" spans="2:20" x14ac:dyDescent="0.3">
      <c r="I37" s="63"/>
      <c r="M37" s="63"/>
      <c r="T37" s="63"/>
    </row>
    <row r="38" spans="2:20" x14ac:dyDescent="0.3">
      <c r="I38" s="63"/>
      <c r="M38" s="63"/>
      <c r="T38" s="63"/>
    </row>
    <row r="39" spans="2:20" x14ac:dyDescent="0.3">
      <c r="I39" s="63"/>
      <c r="M39" s="63"/>
      <c r="T39" s="63"/>
    </row>
    <row r="40" spans="2:20" x14ac:dyDescent="0.3">
      <c r="I40" s="63"/>
      <c r="M40" s="63"/>
      <c r="T40" s="63"/>
    </row>
    <row r="41" spans="2:20" x14ac:dyDescent="0.3">
      <c r="I41" s="63"/>
      <c r="M41" s="63"/>
      <c r="T41" s="63"/>
    </row>
    <row r="42" spans="2:20" x14ac:dyDescent="0.3">
      <c r="I42" s="63"/>
      <c r="M42" s="63"/>
      <c r="T42" s="63"/>
    </row>
    <row r="43" spans="2:20" x14ac:dyDescent="0.3">
      <c r="I43" s="63"/>
      <c r="M43" s="63"/>
      <c r="T43" s="63"/>
    </row>
    <row r="44" spans="2:20" x14ac:dyDescent="0.3">
      <c r="I44" s="63"/>
      <c r="M44" s="63"/>
      <c r="T44" s="63"/>
    </row>
    <row r="45" spans="2:20" x14ac:dyDescent="0.3">
      <c r="I45" s="63"/>
      <c r="M45" s="63"/>
      <c r="T45" s="63"/>
    </row>
    <row r="46" spans="2:20" x14ac:dyDescent="0.3">
      <c r="I46" s="63"/>
      <c r="M46" s="63"/>
      <c r="T46" s="63"/>
    </row>
    <row r="47" spans="2:20" x14ac:dyDescent="0.3">
      <c r="I47" s="63"/>
      <c r="M47" s="63"/>
      <c r="T47" s="63"/>
    </row>
    <row r="48" spans="2:20" x14ac:dyDescent="0.3">
      <c r="I48" s="63"/>
      <c r="M48" s="63"/>
      <c r="T48" s="63"/>
    </row>
    <row r="49" spans="9:20" x14ac:dyDescent="0.3">
      <c r="I49" s="63"/>
      <c r="M49" s="63"/>
      <c r="T49" s="63"/>
    </row>
    <row r="50" spans="9:20" x14ac:dyDescent="0.3">
      <c r="I50" s="63"/>
      <c r="M50" s="63"/>
      <c r="T50" s="63"/>
    </row>
    <row r="51" spans="9:20" x14ac:dyDescent="0.3">
      <c r="I51" s="63"/>
      <c r="M51" s="63"/>
      <c r="T51" s="63"/>
    </row>
  </sheetData>
  <mergeCells count="12">
    <mergeCell ref="D18:H18"/>
    <mergeCell ref="D28:H28"/>
    <mergeCell ref="D29:H29"/>
    <mergeCell ref="D30:H30"/>
    <mergeCell ref="D31:H31"/>
    <mergeCell ref="D19:H19"/>
    <mergeCell ref="D20:H20"/>
    <mergeCell ref="D21:H21"/>
    <mergeCell ref="D22:H22"/>
    <mergeCell ref="D23:H23"/>
    <mergeCell ref="D27:H27"/>
    <mergeCell ref="D26:H26"/>
  </mergeCells>
  <pageMargins left="0.70866141732283472" right="0.70866141732283472" top="0.74803149606299213" bottom="0.74803149606299213" header="0.31496062992125984" footer="0.31496062992125984"/>
  <pageSetup paperSize="9" scale="86" orientation="portrait" r:id="rId1"/>
  <headerFooter>
    <oddHeader>&amp;R&amp;28https://namkyodai.github.io&amp;L&amp;44 &amp;BCEBU 20 MLD DESALINATION WATER TREATMENT PLANT - RISK MANAGEMENT PLAN</oddHeader>
    <oddFooter>&amp;R&amp;28&amp;C&amp;28</oddFooter>
  </headerFooter>
  <colBreaks count="1" manualBreakCount="1">
    <brk id="9"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3:E34"/>
  <sheetViews>
    <sheetView workbookViewId="0">
      <selection activeCell="C10" sqref="C10"/>
    </sheetView>
  </sheetViews>
  <sheetFormatPr defaultColWidth="9.109375" defaultRowHeight="14.4" x14ac:dyDescent="0.3"/>
  <cols>
    <col min="1" max="2" width="9.109375" style="60"/>
    <col min="3" max="3" width="32.5546875" style="60" customWidth="1"/>
    <col min="4" max="4" width="9.109375" style="60"/>
    <col min="5" max="5" width="26.88671875" style="60" bestFit="1" customWidth="1"/>
    <col min="6" max="16384" width="9.109375" style="60"/>
  </cols>
  <sheetData>
    <row r="3" spans="2:5" ht="15.6" x14ac:dyDescent="0.3">
      <c r="B3" s="82" t="s">
        <v>52</v>
      </c>
      <c r="C3" s="83" t="s">
        <v>43</v>
      </c>
      <c r="D3" s="84" t="s">
        <v>44</v>
      </c>
      <c r="E3" s="84" t="s">
        <v>45</v>
      </c>
    </row>
    <row r="4" spans="2:5" ht="15.6" x14ac:dyDescent="0.3">
      <c r="B4" s="95">
        <v>1</v>
      </c>
      <c r="C4" s="96" t="s">
        <v>46</v>
      </c>
      <c r="D4" s="95"/>
      <c r="E4" s="97"/>
    </row>
    <row r="5" spans="2:5" ht="15.6" x14ac:dyDescent="0.3">
      <c r="B5" s="95">
        <v>2</v>
      </c>
      <c r="C5" s="96" t="s">
        <v>69</v>
      </c>
      <c r="D5" s="95"/>
      <c r="E5" s="97"/>
    </row>
    <row r="6" spans="2:5" ht="15.6" x14ac:dyDescent="0.3">
      <c r="B6" s="95">
        <v>3</v>
      </c>
      <c r="C6" s="96" t="s">
        <v>47</v>
      </c>
      <c r="D6" s="95"/>
      <c r="E6" s="97"/>
    </row>
    <row r="7" spans="2:5" ht="15.6" x14ac:dyDescent="0.3">
      <c r="B7" s="95">
        <v>4</v>
      </c>
      <c r="C7" s="96" t="s">
        <v>48</v>
      </c>
      <c r="D7" s="95"/>
      <c r="E7" s="97"/>
    </row>
    <row r="8" spans="2:5" ht="15.6" x14ac:dyDescent="0.3">
      <c r="B8" s="95">
        <v>5</v>
      </c>
      <c r="C8" s="96" t="s">
        <v>71</v>
      </c>
      <c r="D8" s="95"/>
      <c r="E8" s="97"/>
    </row>
    <row r="9" spans="2:5" ht="15.6" x14ac:dyDescent="0.3">
      <c r="B9" s="95">
        <v>6</v>
      </c>
      <c r="C9" s="96" t="s">
        <v>197</v>
      </c>
      <c r="D9" s="95"/>
      <c r="E9" s="97"/>
    </row>
    <row r="10" spans="2:5" ht="15.6" x14ac:dyDescent="0.3">
      <c r="B10" s="95">
        <v>7</v>
      </c>
      <c r="C10" s="96" t="s">
        <v>76</v>
      </c>
      <c r="D10" s="95"/>
      <c r="E10" s="97"/>
    </row>
    <row r="11" spans="2:5" ht="15.6" x14ac:dyDescent="0.3">
      <c r="B11" s="95">
        <v>8</v>
      </c>
      <c r="C11" s="96" t="s">
        <v>49</v>
      </c>
      <c r="D11" s="95"/>
      <c r="E11" s="97"/>
    </row>
    <row r="12" spans="2:5" ht="15.6" x14ac:dyDescent="0.3">
      <c r="B12" s="95">
        <v>9</v>
      </c>
      <c r="C12" s="96" t="s">
        <v>50</v>
      </c>
      <c r="D12" s="95"/>
      <c r="E12" s="97"/>
    </row>
    <row r="13" spans="2:5" ht="15.6" x14ac:dyDescent="0.3">
      <c r="B13" s="95">
        <v>10</v>
      </c>
      <c r="C13" s="96" t="s">
        <v>51</v>
      </c>
      <c r="D13" s="95"/>
      <c r="E13" s="97"/>
    </row>
    <row r="14" spans="2:5" ht="15.6" x14ac:dyDescent="0.3">
      <c r="B14" s="95">
        <v>11</v>
      </c>
      <c r="C14" s="96" t="s">
        <v>72</v>
      </c>
      <c r="D14" s="95"/>
      <c r="E14" s="97"/>
    </row>
    <row r="17" spans="3:3" x14ac:dyDescent="0.3">
      <c r="C17" s="85" t="s">
        <v>79</v>
      </c>
    </row>
    <row r="18" spans="3:3" x14ac:dyDescent="0.3">
      <c r="C18" s="86" t="s">
        <v>77</v>
      </c>
    </row>
    <row r="19" spans="3:3" x14ac:dyDescent="0.3">
      <c r="C19" s="86" t="s">
        <v>78</v>
      </c>
    </row>
    <row r="20" spans="3:3" x14ac:dyDescent="0.3">
      <c r="C20" s="86" t="s">
        <v>80</v>
      </c>
    </row>
    <row r="21" spans="3:3" x14ac:dyDescent="0.3">
      <c r="C21" s="86" t="s">
        <v>70</v>
      </c>
    </row>
    <row r="22" spans="3:3" x14ac:dyDescent="0.3">
      <c r="C22" s="86"/>
    </row>
    <row r="24" spans="3:3" x14ac:dyDescent="0.3">
      <c r="C24" s="87" t="s">
        <v>47</v>
      </c>
    </row>
    <row r="25" spans="3:3" x14ac:dyDescent="0.3">
      <c r="C25" s="88" t="s">
        <v>70</v>
      </c>
    </row>
    <row r="26" spans="3:3" x14ac:dyDescent="0.3">
      <c r="C26" s="88" t="s">
        <v>77</v>
      </c>
    </row>
    <row r="27" spans="3:3" x14ac:dyDescent="0.3">
      <c r="C27" s="88" t="s">
        <v>78</v>
      </c>
    </row>
    <row r="28" spans="3:3" x14ac:dyDescent="0.3">
      <c r="C28" s="88"/>
    </row>
    <row r="31" spans="3:3" x14ac:dyDescent="0.3">
      <c r="C31" s="87" t="s">
        <v>39</v>
      </c>
    </row>
    <row r="32" spans="3:3" x14ac:dyDescent="0.3">
      <c r="C32" s="88" t="s">
        <v>54</v>
      </c>
    </row>
    <row r="33" spans="3:3" x14ac:dyDescent="0.3">
      <c r="C33" s="88" t="s">
        <v>55</v>
      </c>
    </row>
    <row r="34" spans="3:3" x14ac:dyDescent="0.3">
      <c r="C34" s="88" t="s">
        <v>56</v>
      </c>
    </row>
  </sheetData>
  <pageMargins left="0.70866141732283472" right="0.70866141732283472" top="0.74803149606299213" bottom="0.74803149606299213" header="0.31496062992125984" footer="0.31496062992125984"/>
  <pageSetup paperSize="9" orientation="portrait" horizontalDpi="90" verticalDpi="90" r:id="rId1"/>
  <headerFooter>
    <oddHeader>&amp;R&amp;28https://namkyodai.github.io&amp;L&amp;44 &amp;BCEBU 20 MLD DESALINATION WATER TREATMENT PLANT - RISK MANAGEMENT PLAN</oddHeader>
    <oddFooter>&amp;R&amp;28&amp;C&amp;28</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4E24A5AE2FFE4D803351815B83CDA7" ma:contentTypeVersion="6" ma:contentTypeDescription="Create a new document." ma:contentTypeScope="" ma:versionID="abb6bfcbde089945b52e6df541dc69d8">
  <xsd:schema xmlns:xsd="http://www.w3.org/2001/XMLSchema" xmlns:xs="http://www.w3.org/2001/XMLSchema" xmlns:p="http://schemas.microsoft.com/office/2006/metadata/properties" xmlns:ns2="000cdb5a-846d-4876-af64-e78a3995411f" xmlns:ns3="1b9fa30d-7c1b-4074-b99a-04cca3536a15" targetNamespace="http://schemas.microsoft.com/office/2006/metadata/properties" ma:root="true" ma:fieldsID="e46f4754d54a2d63d3b569aae09fc53c" ns2:_="" ns3:_="">
    <xsd:import namespace="000cdb5a-846d-4876-af64-e78a3995411f"/>
    <xsd:import namespace="1b9fa30d-7c1b-4074-b99a-04cca3536a1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0cdb5a-846d-4876-af64-e78a39954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b9fa30d-7c1b-4074-b99a-04cca3536a1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B723FF-87B7-4947-B103-7972E07AC3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0cdb5a-846d-4876-af64-e78a3995411f"/>
    <ds:schemaRef ds:uri="1b9fa30d-7c1b-4074-b99a-04cca3536a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42FFCA7-E475-4AAB-9C2E-61DC6D4580F5}">
  <ds:schemaRefs>
    <ds:schemaRef ds:uri="000cdb5a-846d-4876-af64-e78a3995411f"/>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b9fa30d-7c1b-4074-b99a-04cca3536a15"/>
    <ds:schemaRef ds:uri="http://www.w3.org/XML/1998/namespace"/>
    <ds:schemaRef ds:uri="http://purl.org/dc/dcmitype/"/>
  </ds:schemaRefs>
</ds:datastoreItem>
</file>

<file path=customXml/itemProps3.xml><?xml version="1.0" encoding="utf-8"?>
<ds:datastoreItem xmlns:ds="http://schemas.openxmlformats.org/officeDocument/2006/customXml" ds:itemID="{37C00FBF-A4E1-49F2-8FB7-FA3CC4161E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Riskprofile</vt:lpstr>
      <vt:lpstr>Riskregister</vt:lpstr>
      <vt:lpstr>Definition</vt:lpstr>
      <vt:lpstr>DataFields</vt:lpstr>
      <vt:lpstr>Definition!Print_Area</vt:lpstr>
      <vt:lpstr>Riskprofile!Print_Area</vt:lpstr>
      <vt:lpstr>Riskregister!Print_Area</vt:lpstr>
      <vt:lpstr>Riskprofile!Print_Titles</vt:lpstr>
      <vt:lpstr>Riskregister!Print_Titles</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Nam Lethanh</dc:creator>
  <cp:lastModifiedBy>ADMIN</cp:lastModifiedBy>
  <cp:lastPrinted>2023-04-15T10:52:15Z</cp:lastPrinted>
  <dcterms:created xsi:type="dcterms:W3CDTF">2017-01-20T00:58:13Z</dcterms:created>
  <dcterms:modified xsi:type="dcterms:W3CDTF">2023-04-15T10:52:22Z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12233880-153e-4d79-a307-4834fee86489</vt:lpwstr>
  </property>
  <property fmtid="{D5CDD505-2E9C-101B-9397-08002B2CF9AE}" pid="3" name="ContentTypeId">
    <vt:lpwstr>0x010100C54E24A5AE2FFE4D803351815B83CDA7</vt:lpwstr>
  </property>
</Properties>
</file>